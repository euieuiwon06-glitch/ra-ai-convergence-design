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조각_교차검증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<sst xmlns="http://schemas.openxmlformats.org/spreadsheetml/2006/main" count="927" uniqueCount="152">
  <si>
    <t xml:space="preserve">원본번호</t>
  </si>
  <si>
    <r>
      <rPr>
        <b val="true"/>
        <sz val="11"/>
        <color rgb="FFFFFFFF"/>
        <rFont val="Noto Sans CJK SC"/>
        <family val="2"/>
      </rPr>
      <t xml:space="preserve">원본 리뷰 문장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전체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</si>
  <si>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분절 문장</t>
  </si>
  <si>
    <r>
      <rPr>
        <b val="true"/>
        <sz val="11"/>
        <color rgb="FFFFFFFF"/>
        <rFont val="Arial"/>
        <family val="0"/>
        <charset val="1"/>
      </rPr>
      <t xml:space="preserve">GPT_</t>
    </r>
    <r>
      <rPr>
        <b val="true"/>
        <sz val="11"/>
        <color rgb="FFFFFFFF"/>
        <rFont val="Noto Sans CJK SC"/>
        <family val="2"/>
      </rPr>
      <t xml:space="preserve">카테고리</t>
    </r>
  </si>
  <si>
    <r>
      <rPr>
        <b val="true"/>
        <sz val="11"/>
        <color rgb="FFFFFFFF"/>
        <rFont val="Arial"/>
        <family val="0"/>
        <charset val="1"/>
      </rPr>
      <t xml:space="preserve">GPT_</t>
    </r>
    <r>
      <rPr>
        <b val="true"/>
        <sz val="11"/>
        <color rgb="FFFFFFFF"/>
        <rFont val="Noto Sans CJK SC"/>
        <family val="2"/>
      </rPr>
      <t xml:space="preserve">톤</t>
    </r>
  </si>
  <si>
    <r>
      <rPr>
        <b val="true"/>
        <sz val="11"/>
        <color rgb="FFFFFFFF"/>
        <rFont val="Arial"/>
        <family val="0"/>
        <charset val="1"/>
      </rPr>
      <t xml:space="preserve">Claude_</t>
    </r>
    <r>
      <rPr>
        <b val="true"/>
        <sz val="11"/>
        <color rgb="FFFFFFFF"/>
        <rFont val="Noto Sans CJK SC"/>
        <family val="2"/>
      </rPr>
      <t xml:space="preserve">카테고리</t>
    </r>
  </si>
  <si>
    <r>
      <rPr>
        <b val="true"/>
        <sz val="11"/>
        <color rgb="FFFFFFFF"/>
        <rFont val="Arial"/>
        <family val="0"/>
        <charset val="1"/>
      </rPr>
      <t xml:space="preserve">Claude_</t>
    </r>
    <r>
      <rPr>
        <b val="true"/>
        <sz val="11"/>
        <color rgb="FFFFFFFF"/>
        <rFont val="Noto Sans CJK SC"/>
        <family val="2"/>
      </rPr>
      <t xml:space="preserve">톤</t>
    </r>
  </si>
  <si>
    <r>
      <rPr>
        <b val="true"/>
        <sz val="11"/>
        <color rgb="FFFFFFFF"/>
        <rFont val="Arial"/>
        <family val="0"/>
        <charset val="1"/>
      </rPr>
      <t xml:space="preserve">Gemini_</t>
    </r>
    <r>
      <rPr>
        <b val="true"/>
        <sz val="11"/>
        <color rgb="FFFFFFFF"/>
        <rFont val="Noto Sans CJK SC"/>
        <family val="2"/>
      </rPr>
      <t xml:space="preserve">카테고리</t>
    </r>
  </si>
  <si>
    <r>
      <rPr>
        <b val="true"/>
        <sz val="11"/>
        <color rgb="FFFFFFFF"/>
        <rFont val="Arial"/>
        <family val="0"/>
        <charset val="1"/>
      </rPr>
      <t xml:space="preserve">Gemini_</t>
    </r>
    <r>
      <rPr>
        <b val="true"/>
        <sz val="11"/>
        <color rgb="FFFFFFFF"/>
        <rFont val="Noto Sans CJK SC"/>
        <family val="2"/>
      </rPr>
      <t xml:space="preserve">톤</t>
    </r>
  </si>
  <si>
    <r>
      <rPr>
        <b val="true"/>
        <sz val="11"/>
        <color rgb="FFFFFFFF"/>
        <rFont val="Noto Sans CJK SC"/>
        <family val="2"/>
      </rPr>
      <t xml:space="preserve">다수결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카테고리</t>
    </r>
  </si>
  <si>
    <r>
      <rPr>
        <b val="true"/>
        <sz val="11"/>
        <color rgb="FFFFFFFF"/>
        <rFont val="Noto Sans CJK SC"/>
        <family val="2"/>
      </rPr>
      <t xml:space="preserve">다수결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톤</t>
    </r>
  </si>
  <si>
    <t xml:space="preserve">판단보류</t>
  </si>
  <si>
    <t xml:space="preserve">화장실이 좀 아쉽긴 한데ㅠ</t>
  </si>
  <si>
    <t xml:space="preserve">시설</t>
  </si>
  <si>
    <t xml:space="preserve">부정</t>
  </si>
  <si>
    <t xml:space="preserve">좌석들이 많고 멋져서 좋아요</t>
  </si>
  <si>
    <t xml:space="preserve">좌석들이 많아요</t>
  </si>
  <si>
    <t xml:space="preserve">긍정</t>
  </si>
  <si>
    <t xml:space="preserve">멋져서 좋아요</t>
  </si>
  <si>
    <t xml:space="preserve">몰입환경</t>
  </si>
  <si>
    <t xml:space="preserve">사장같은 사람이 와서 개념없이 떠들고 다닌다</t>
  </si>
  <si>
    <t xml:space="preserve">소음</t>
  </si>
  <si>
    <t xml:space="preserve">방음도 잘 안된다</t>
  </si>
  <si>
    <t xml:space="preserve">옆 방에 사람이 다 보인다</t>
  </si>
  <si>
    <t xml:space="preserve">방이 너무 춥다</t>
  </si>
  <si>
    <t xml:space="preserve">잔잔한 음악소리가 최대 장점이다</t>
  </si>
  <si>
    <t xml:space="preserve">넓은 좌석 공간이 최대 장점이다</t>
  </si>
  <si>
    <t xml:space="preserve">자리 배치가 개방적이어서 더 집중이 잘되는 느낌이다</t>
  </si>
  <si>
    <t xml:space="preserve">자리 배치가 개방적이다</t>
  </si>
  <si>
    <t xml:space="preserve">더 집중이 잘되는 느낌이다</t>
  </si>
  <si>
    <t xml:space="preserve">자리 종류가 많아서 집중 안될 때마다 돌아가면서 하면 좋다</t>
  </si>
  <si>
    <t xml:space="preserve">자리 종류가 많다</t>
  </si>
  <si>
    <t xml:space="preserve">집중 안될 때마다 돌아가면서 앉으면 좋다</t>
  </si>
  <si>
    <t xml:space="preserve">우드톤 인테리어 분위기가 좋으니까 공부가 더 잘된다</t>
  </si>
  <si>
    <t xml:space="preserve">우드톤 인테리어 분위기가 좋다</t>
  </si>
  <si>
    <t xml:space="preserve">공부가 더 잘된다</t>
  </si>
  <si>
    <t xml:space="preserve">매장 내부가 되게 깔끔하고 좋은 냄새나서 계속 앉아있고 싶다</t>
  </si>
  <si>
    <t xml:space="preserve">매장 내부가 되게 깔끔하다</t>
  </si>
  <si>
    <t xml:space="preserve">좋은 냄새가 난다</t>
  </si>
  <si>
    <t xml:space="preserve">계속 앉아있고 싶다</t>
  </si>
  <si>
    <r>
      <rPr>
        <sz val="11"/>
        <rFont val="Noto Sans CJK SC"/>
        <family val="2"/>
      </rPr>
      <t xml:space="preserve">자리마다 콘센트가 넉넉하게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개씩 있다</t>
    </r>
  </si>
  <si>
    <t xml:space="preserve">여전히 분위기가 좋다</t>
  </si>
  <si>
    <t xml:space="preserve">충전기랑 전등 맘놓고 쓸 수 있다</t>
  </si>
  <si>
    <t xml:space="preserve">간식도 구비되어있어서 멀리 안나가도 된다</t>
  </si>
  <si>
    <t xml:space="preserve">지하임에도 쾌적하고 답답한 느낌이 없다</t>
  </si>
  <si>
    <t xml:space="preserve">자리가 다양해서 좋다</t>
  </si>
  <si>
    <t xml:space="preserve">대화가 가능해서 압박감이 들지 않는다</t>
  </si>
  <si>
    <t xml:space="preserve">대화가 가능하다</t>
  </si>
  <si>
    <t xml:space="preserve">압박감이 들지 않는다</t>
  </si>
  <si>
    <t xml:space="preserve">깔끔하고 분위기도 좋다</t>
  </si>
  <si>
    <t xml:space="preserve">깔끔하다</t>
  </si>
  <si>
    <t xml:space="preserve">분위기도 좋다</t>
  </si>
  <si>
    <t xml:space="preserve">콘센트가 여기저기 많이 비치되어 있다</t>
  </si>
  <si>
    <t xml:space="preserve">좌석 간 간격이 넉넉해서 너무 갑갑하지 않다</t>
  </si>
  <si>
    <t xml:space="preserve">좌석 간 간격이 넉넉하다</t>
  </si>
  <si>
    <t xml:space="preserve">너무 갑갑하지 않다</t>
  </si>
  <si>
    <t xml:space="preserve">불빛도 너무 밝지 않고 적당히 은은하다</t>
  </si>
  <si>
    <t xml:space="preserve">스카에서는 노트북 사용하기 눈치보이는데 여기선 맘놓고 쓴다</t>
  </si>
  <si>
    <t xml:space="preserve">집중이 잘 된다</t>
  </si>
  <si>
    <t xml:space="preserve">좌석이 편하다</t>
  </si>
  <si>
    <t xml:space="preserve">방해되지 않을 정도의 음악에 조용히 대화하기도 좋다</t>
  </si>
  <si>
    <t xml:space="preserve">작업하기 최적화된 곳이다</t>
  </si>
  <si>
    <t xml:space="preserve">시설이 엄청 깔끔하다</t>
  </si>
  <si>
    <t xml:space="preserve">집중하기 좋은 분위기다</t>
  </si>
  <si>
    <t xml:space="preserve">잔잔한 음악이 나오는 곳이라 공부하기 좋다</t>
  </si>
  <si>
    <t xml:space="preserve">매장이 청결하다</t>
  </si>
  <si>
    <t xml:space="preserve">매장이 너무 깨끗하다</t>
  </si>
  <si>
    <t xml:space="preserve">소음이 적당해서 공부 집중이 잘된다</t>
  </si>
  <si>
    <t xml:space="preserve">소음이 적당하다</t>
  </si>
  <si>
    <t xml:space="preserve">공부 집중이 잘된다</t>
  </si>
  <si>
    <t xml:space="preserve">조용해서 공부에 집중할 수 있다</t>
  </si>
  <si>
    <t xml:space="preserve">조용하다</t>
  </si>
  <si>
    <t xml:space="preserve">공부에 집중할 수 있다</t>
  </si>
  <si>
    <t xml:space="preserve">자리에 조명도 괜찮고 좋다</t>
  </si>
  <si>
    <t xml:space="preserve">지하에 위치해있어서 집중하기 더 좋다</t>
  </si>
  <si>
    <t xml:space="preserve">노래가 깔려있어서 적당히 차분하고 집중하기 좋다</t>
  </si>
  <si>
    <t xml:space="preserve">노래가 깔려있어서 적당히 차분하다</t>
  </si>
  <si>
    <t xml:space="preserve">집중하기 좋다</t>
  </si>
  <si>
    <t xml:space="preserve">시험기간이 아니라 사람도 적은 편이어서 편하게 이용했다</t>
  </si>
  <si>
    <t xml:space="preserve">혼잡도</t>
  </si>
  <si>
    <t xml:space="preserve">시설이 넓고 쾌적하다</t>
  </si>
  <si>
    <t xml:space="preserve">시설이 넓다</t>
  </si>
  <si>
    <t xml:space="preserve">쾌적하다</t>
  </si>
  <si>
    <t xml:space="preserve">탁 트인 인테리어와 편한 의자가 맘에 들었다</t>
  </si>
  <si>
    <t xml:space="preserve">조명이 눈이 안 아프고 집중이 잘된다</t>
  </si>
  <si>
    <t xml:space="preserve">조명이 눈이 안 아프다</t>
  </si>
  <si>
    <t xml:space="preserve">집중이 잘된다</t>
  </si>
  <si>
    <t xml:space="preserve">시설이 깔끔하고 집중이 잘 된다</t>
  </si>
  <si>
    <t xml:space="preserve">시설이 깔끔하다</t>
  </si>
  <si>
    <t xml:space="preserve">마커가 다 잘 안 나온다</t>
  </si>
  <si>
    <t xml:space="preserve">시설이 엄청 깔끔하고 화이트 톤이라 좋다</t>
  </si>
  <si>
    <t xml:space="preserve">화이트 톤이라 좋다</t>
  </si>
  <si>
    <t xml:space="preserve">공간이 엄청 넓고 자리도 매번 원하는 곳으로 선택할 수 있다</t>
  </si>
  <si>
    <t xml:space="preserve">공간이 엄청 넓다</t>
  </si>
  <si>
    <t xml:space="preserve">자리도 매번 원하는 곳으로 선택할 수 있다</t>
  </si>
  <si>
    <t xml:space="preserve">늘 깨끗하게 관리가 잘 되어있다</t>
  </si>
  <si>
    <t xml:space="preserve">분위기가 잘 잡혀있다</t>
  </si>
  <si>
    <t xml:space="preserve">시설도 깔끔하고 청결하다</t>
  </si>
  <si>
    <t xml:space="preserve">휴게실에서 크게 떠들지 못하도록 관리한다</t>
  </si>
  <si>
    <t xml:space="preserve">관리가 꼼꼼해서 공부에만 집중할 수 있는 환경이다</t>
  </si>
  <si>
    <t xml:space="preserve">관리가 꼼꼼하다</t>
  </si>
  <si>
    <t xml:space="preserve">공부에만 집중할 수 있는 환경이다</t>
  </si>
  <si>
    <t xml:space="preserve">소음 관리가 잘 되어 있어서 장시간 공부하기 좋다</t>
  </si>
  <si>
    <t xml:space="preserve">휴게실에 커피머신이 있다</t>
  </si>
  <si>
    <t xml:space="preserve">분위기가 조용하다</t>
  </si>
  <si>
    <t xml:space="preserve">자리가 넘 편하다</t>
  </si>
  <si>
    <t xml:space="preserve">밥먹는 공간이 따로 있어서 냄새도 안나고 쾌적하다</t>
  </si>
  <si>
    <t xml:space="preserve">밥먹는 공간이 따로 있다</t>
  </si>
  <si>
    <t xml:space="preserve">냄새도 안 난다</t>
  </si>
  <si>
    <t xml:space="preserve">각 좌석마다 스탠드가 있다</t>
  </si>
  <si>
    <t xml:space="preserve">잔잔한 음악이 나와서 조용한 분위기다</t>
  </si>
  <si>
    <t xml:space="preserve">휴게실 있는 점이 좋았다</t>
  </si>
  <si>
    <t xml:space="preserve">백색소음이 전체적으로 너무 크다</t>
  </si>
  <si>
    <t xml:space="preserve">헤드폰 소리를 더 키워야 해서 귀가 아프다</t>
  </si>
  <si>
    <t xml:space="preserve">청소가 잘 되어있다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</si>
  <si>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층은 조용하다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</si>
  <si>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층은 자리가 부족하다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</si>
  <si>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층은 고딩이 많아서 우루루 왔다갔다 움직여서 시끄럽다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</si>
  <si>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층은 고등학생이 많다</t>
    </r>
  </si>
  <si>
    <t xml:space="preserve">우루루 왔다갔다 움직여서 시끄럽다</t>
  </si>
  <si>
    <t xml:space="preserve">지우개가루를 안치우고 간다</t>
  </si>
  <si>
    <t xml:space="preserve">에어컨에서 간간히 잡음소리가 들리고 냉난방 이슈가 있다</t>
  </si>
  <si>
    <t xml:space="preserve">에어컨에서 간간히 잡음소리가 들린다</t>
  </si>
  <si>
    <t xml:space="preserve">냉난방 이슈가 있다</t>
  </si>
  <si>
    <t xml:space="preserve">공간이 다른 곳에 비해 조금 협소하다</t>
  </si>
  <si>
    <r>
      <rPr>
        <sz val="11"/>
        <rFont val="Noto Sans CJK SC"/>
        <family val="2"/>
      </rPr>
      <t xml:space="preserve">공부 분위기가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층 할것없이 안좋다</t>
    </r>
  </si>
  <si>
    <t xml:space="preserve">사물함 크기가 작아서 책을 조금만 넣어도 바로 찬다</t>
  </si>
  <si>
    <t xml:space="preserve">화장실 하나는 일품이다</t>
  </si>
  <si>
    <t xml:space="preserve">도로 근처라 시끄럽다</t>
  </si>
  <si>
    <t xml:space="preserve">편의 시설이 없다</t>
  </si>
  <si>
    <t xml:space="preserve">정수기가 없다</t>
  </si>
  <si>
    <t xml:space="preserve">깨끗한데 편의시설은 없다</t>
  </si>
  <si>
    <t xml:space="preserve">시설은 좋다</t>
  </si>
  <si>
    <t xml:space="preserve">도로변 바로 앞에 있어서 매우 시끄럽다</t>
  </si>
  <si>
    <t xml:space="preserve">시험기간엔 자리 잡기가 거의 불가능하다</t>
  </si>
  <si>
    <t xml:space="preserve">평일 낮에는 사람이 별로 없어서 여유롭다</t>
  </si>
  <si>
    <t xml:space="preserve">저녁 시간대만 되면 자리가 꽉 찬다</t>
  </si>
  <si>
    <t xml:space="preserve">주말엔 한산해서 원하는 자리에 앉을 수 있다</t>
  </si>
  <si>
    <t xml:space="preserve">시험기간엔 예약 안하면 못 들어갈 정도다</t>
  </si>
  <si>
    <t xml:space="preserve">새벽 시간엔 사람이 거의 없어서 조용히 이용했다</t>
  </si>
  <si>
    <t xml:space="preserve">방학 때는 확실히 사람이 몰린다</t>
  </si>
  <si>
    <t xml:space="preserve">평소엔 자리 걱정 없이 편하게 다닌다</t>
  </si>
  <si>
    <r>
      <rPr>
        <sz val="11"/>
        <rFont val="Noto Sans CJK SC"/>
        <family val="2"/>
      </rPr>
      <t xml:space="preserve">오후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시 넘으면 대기줄까지 생긴다</t>
    </r>
  </si>
  <si>
    <t xml:space="preserve">평일 오전엔 자리가 널널하다</t>
  </si>
  <si>
    <t xml:space="preserve">피크타임엔 원하는 자리는 거의 못 앉는다</t>
  </si>
  <si>
    <t xml:space="preserve">비수기라 그런지 사람이 적어서 좋았다</t>
  </si>
  <si>
    <t xml:space="preserve">시험기간 피해서 가면 자리 여유 있다</t>
  </si>
  <si>
    <t xml:space="preserve">주말 오후엔 발디딜 틈이 없을 정도다</t>
  </si>
  <si>
    <t xml:space="preserve">공강 시간대에 가면 사람이 적어서 좋다</t>
  </si>
  <si>
    <r>
      <rPr>
        <b val="true"/>
        <sz val="13"/>
        <rFont val="Noto Sans CJK SC"/>
        <family val="2"/>
      </rPr>
      <t xml:space="preserve">조각 단위 카테고리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톤 교차검증 요약</t>
    </r>
  </si>
  <si>
    <r>
      <rPr>
        <sz val="11"/>
        <rFont val="Noto Sans CJK SC"/>
        <family val="2"/>
      </rPr>
      <t xml:space="preserve">총 조각 수</t>
    </r>
    <r>
      <rPr>
        <sz val="11"/>
        <rFont val="Arial"/>
        <family val="0"/>
        <charset val="1"/>
      </rPr>
      <t xml:space="preserve">: 114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(Claude</t>
    </r>
    <r>
      <rPr>
        <sz val="11"/>
        <rFont val="Noto Sans CJK SC"/>
        <family val="2"/>
      </rPr>
      <t xml:space="preserve">가 분절한 결과를 </t>
    </r>
    <r>
      <rPr>
        <sz val="11"/>
        <rFont val="Arial"/>
        <family val="0"/>
        <charset val="1"/>
      </rPr>
      <t xml:space="preserve">GPT/Gemini/Claude 3</t>
    </r>
    <r>
      <rPr>
        <sz val="11"/>
        <rFont val="Noto Sans CJK SC"/>
        <family val="2"/>
      </rPr>
      <t xml:space="preserve">개 모델이 동일하게 분류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</si>
  <si>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분절 자체는 다시 하지 않고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이미 나뉜 조각을 카테고리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톤만 분류하도록 프롬프트에 명시함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</si>
</sst>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A57A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5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n">
        <v>1</v>
      </c>
      <c r="B2" s="4" t="s">
        <v>12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14</v>
      </c>
      <c r="H2" s="4" t="s">
        <v>13</v>
      </c>
      <c r="I2" s="4" t="s">
        <v>14</v>
      </c>
      <c r="J2" s="3" t="str">
        <f aca="false">IF(D2=F2,D2,IF(D2=H2,D2,IF(F2=H2,F2,"판단보류")))</f>
        <v>시설</v>
      </c>
      <c r="K2" s="3" t="str">
        <f aca="false">IF(E2=G2,E2,IF(E2=I2,E2,IF(G2=I2,G2,"판단보류")))</f>
        <v>부정</v>
      </c>
      <c r="L2" s="3" t="str">
        <f aca="false">IF(OR(J2="판단보류",K2="판단보류"),"예 - 검토필요","")</f>
        <v/>
      </c>
    </row>
    <row r="3" customFormat="false" ht="15" hidden="false" customHeight="false" outlineLevel="0" collapsed="false">
      <c r="A3" s="3" t="n">
        <v>2</v>
      </c>
      <c r="B3" s="4" t="s">
        <v>15</v>
      </c>
      <c r="C3" s="4" t="s">
        <v>16</v>
      </c>
      <c r="D3" s="4" t="s">
        <v>13</v>
      </c>
      <c r="E3" s="4" t="s">
        <v>17</v>
      </c>
      <c r="F3" s="4" t="s">
        <v>13</v>
      </c>
      <c r="G3" s="4" t="s">
        <v>17</v>
      </c>
      <c r="H3" s="4" t="s">
        <v>13</v>
      </c>
      <c r="I3" s="4" t="s">
        <v>17</v>
      </c>
      <c r="J3" s="3" t="str">
        <f aca="false">IF(D3=F3,D3,IF(D3=H3,D3,IF(F3=H3,F3,"판단보류")))</f>
        <v>시설</v>
      </c>
      <c r="K3" s="3" t="str">
        <f aca="false">IF(E3=G3,E3,IF(E3=I3,E3,IF(G3=I3,G3,"판단보류")))</f>
        <v>긍정</v>
      </c>
      <c r="L3" s="3" t="str">
        <f aca="false">IF(OR(J3="판단보류",K3="판단보류"),"예 - 검토필요","")</f>
        <v/>
      </c>
    </row>
    <row r="4" customFormat="false" ht="15" hidden="false" customHeight="false" outlineLevel="0" collapsed="false">
      <c r="A4" s="3" t="n">
        <v>2</v>
      </c>
      <c r="B4" s="4" t="s">
        <v>15</v>
      </c>
      <c r="C4" s="4" t="s">
        <v>18</v>
      </c>
      <c r="D4" s="4" t="s">
        <v>19</v>
      </c>
      <c r="E4" s="4" t="s">
        <v>17</v>
      </c>
      <c r="F4" s="4" t="s">
        <v>13</v>
      </c>
      <c r="G4" s="4" t="s">
        <v>17</v>
      </c>
      <c r="H4" s="4" t="s">
        <v>13</v>
      </c>
      <c r="I4" s="4" t="s">
        <v>17</v>
      </c>
      <c r="J4" s="3" t="str">
        <f aca="false">IF(D4=F4,D4,IF(D4=H4,D4,IF(F4=H4,F4,"판단보류")))</f>
        <v>시설</v>
      </c>
      <c r="K4" s="3" t="str">
        <f aca="false">IF(E4=G4,E4,IF(E4=I4,E4,IF(G4=I4,G4,"판단보류")))</f>
        <v>긍정</v>
      </c>
      <c r="L4" s="3" t="str">
        <f aca="false">IF(OR(J4="판단보류",K4="판단보류"),"예 - 검토필요","")</f>
        <v/>
      </c>
    </row>
    <row r="5" customFormat="false" ht="15" hidden="false" customHeight="false" outlineLevel="0" collapsed="false">
      <c r="A5" s="3" t="n">
        <v>3</v>
      </c>
      <c r="B5" s="4" t="s">
        <v>20</v>
      </c>
      <c r="C5" s="4" t="s">
        <v>20</v>
      </c>
      <c r="D5" s="4" t="s">
        <v>21</v>
      </c>
      <c r="E5" s="4" t="s">
        <v>14</v>
      </c>
      <c r="F5" s="4" t="s">
        <v>21</v>
      </c>
      <c r="G5" s="4" t="s">
        <v>14</v>
      </c>
      <c r="H5" s="4" t="s">
        <v>21</v>
      </c>
      <c r="I5" s="4" t="s">
        <v>14</v>
      </c>
      <c r="J5" s="3" t="str">
        <f aca="false">IF(D5=F5,D5,IF(D5=H5,D5,IF(F5=H5,F5,"판단보류")))</f>
        <v>소음</v>
      </c>
      <c r="K5" s="3" t="str">
        <f aca="false">IF(E5=G5,E5,IF(E5=I5,E5,IF(G5=I5,G5,"판단보류")))</f>
        <v>부정</v>
      </c>
      <c r="L5" s="3" t="str">
        <f aca="false">IF(OR(J5="판단보류",K5="판단보류"),"예 - 검토필요","")</f>
        <v/>
      </c>
    </row>
    <row r="6" customFormat="false" ht="15" hidden="false" customHeight="false" outlineLevel="0" collapsed="false">
      <c r="A6" s="3" t="n">
        <v>4</v>
      </c>
      <c r="B6" s="4" t="s">
        <v>22</v>
      </c>
      <c r="C6" s="4" t="s">
        <v>22</v>
      </c>
      <c r="D6" s="4" t="s">
        <v>21</v>
      </c>
      <c r="E6" s="4" t="s">
        <v>14</v>
      </c>
      <c r="F6" s="4" t="s">
        <v>21</v>
      </c>
      <c r="G6" s="4" t="s">
        <v>14</v>
      </c>
      <c r="H6" s="4" t="s">
        <v>21</v>
      </c>
      <c r="I6" s="4" t="s">
        <v>14</v>
      </c>
      <c r="J6" s="3" t="str">
        <f aca="false">IF(D6=F6,D6,IF(D6=H6,D6,IF(F6=H6,F6,"판단보류")))</f>
        <v>소음</v>
      </c>
      <c r="K6" s="3" t="str">
        <f aca="false">IF(E6=G6,E6,IF(E6=I6,E6,IF(G6=I6,G6,"판단보류")))</f>
        <v>부정</v>
      </c>
      <c r="L6" s="3" t="str">
        <f aca="false">IF(OR(J6="판단보류",K6="판단보류"),"예 - 검토필요","")</f>
        <v/>
      </c>
    </row>
    <row r="7" customFormat="false" ht="15" hidden="false" customHeight="false" outlineLevel="0" collapsed="false">
      <c r="A7" s="3" t="n">
        <v>5</v>
      </c>
      <c r="B7" s="4" t="s">
        <v>23</v>
      </c>
      <c r="C7" s="4" t="s">
        <v>23</v>
      </c>
      <c r="D7" s="4" t="s">
        <v>13</v>
      </c>
      <c r="E7" s="4" t="s">
        <v>14</v>
      </c>
      <c r="F7" s="4" t="s">
        <v>13</v>
      </c>
      <c r="G7" s="4" t="s">
        <v>14</v>
      </c>
      <c r="H7" s="4" t="s">
        <v>13</v>
      </c>
      <c r="I7" s="4" t="s">
        <v>14</v>
      </c>
      <c r="J7" s="3" t="str">
        <f aca="false">IF(D7=F7,D7,IF(D7=H7,D7,IF(F7=H7,F7,"판단보류")))</f>
        <v>시설</v>
      </c>
      <c r="K7" s="3" t="str">
        <f aca="false">IF(E7=G7,E7,IF(E7=I7,E7,IF(G7=I7,G7,"판단보류")))</f>
        <v>부정</v>
      </c>
      <c r="L7" s="3" t="str">
        <f aca="false">IF(OR(J7="판단보류",K7="판단보류"),"예 - 검토필요","")</f>
        <v/>
      </c>
    </row>
    <row r="8" customFormat="false" ht="15" hidden="false" customHeight="false" outlineLevel="0" collapsed="false">
      <c r="A8" s="3" t="n">
        <v>6</v>
      </c>
      <c r="B8" s="4" t="s">
        <v>24</v>
      </c>
      <c r="C8" s="4" t="s">
        <v>24</v>
      </c>
      <c r="D8" s="4" t="s">
        <v>13</v>
      </c>
      <c r="E8" s="4" t="s">
        <v>14</v>
      </c>
      <c r="F8" s="4" t="s">
        <v>13</v>
      </c>
      <c r="G8" s="4" t="s">
        <v>14</v>
      </c>
      <c r="H8" s="4" t="s">
        <v>13</v>
      </c>
      <c r="I8" s="4" t="s">
        <v>14</v>
      </c>
      <c r="J8" s="3" t="str">
        <f aca="false">IF(D8=F8,D8,IF(D8=H8,D8,IF(F8=H8,F8,"판단보류")))</f>
        <v>시설</v>
      </c>
      <c r="K8" s="3" t="str">
        <f aca="false">IF(E8=G8,E8,IF(E8=I8,E8,IF(G8=I8,G8,"판단보류")))</f>
        <v>부정</v>
      </c>
      <c r="L8" s="3" t="str">
        <f aca="false">IF(OR(J8="판단보류",K8="판단보류"),"예 - 검토필요","")</f>
        <v/>
      </c>
    </row>
    <row r="9" customFormat="false" ht="15" hidden="false" customHeight="false" outlineLevel="0" collapsed="false">
      <c r="A9" s="3" t="n">
        <v>7</v>
      </c>
      <c r="B9" s="4" t="s">
        <v>25</v>
      </c>
      <c r="C9" s="4" t="s">
        <v>25</v>
      </c>
      <c r="D9" s="4" t="s">
        <v>21</v>
      </c>
      <c r="E9" s="4" t="s">
        <v>17</v>
      </c>
      <c r="F9" s="4" t="s">
        <v>21</v>
      </c>
      <c r="G9" s="4" t="s">
        <v>17</v>
      </c>
      <c r="H9" s="4" t="s">
        <v>21</v>
      </c>
      <c r="I9" s="4" t="s">
        <v>17</v>
      </c>
      <c r="J9" s="3" t="str">
        <f aca="false">IF(D9=F9,D9,IF(D9=H9,D9,IF(F9=H9,F9,"판단보류")))</f>
        <v>소음</v>
      </c>
      <c r="K9" s="3" t="str">
        <f aca="false">IF(E9=G9,E9,IF(E9=I9,E9,IF(G9=I9,G9,"판단보류")))</f>
        <v>긍정</v>
      </c>
      <c r="L9" s="3" t="str">
        <f aca="false">IF(OR(J9="판단보류",K9="판단보류"),"예 - 검토필요","")</f>
        <v/>
      </c>
    </row>
    <row r="10" customFormat="false" ht="15" hidden="false" customHeight="false" outlineLevel="0" collapsed="false">
      <c r="A10" s="3" t="n">
        <v>8</v>
      </c>
      <c r="B10" s="4" t="s">
        <v>26</v>
      </c>
      <c r="C10" s="4" t="s">
        <v>26</v>
      </c>
      <c r="D10" s="4" t="s">
        <v>13</v>
      </c>
      <c r="E10" s="4" t="s">
        <v>17</v>
      </c>
      <c r="F10" s="4" t="s">
        <v>13</v>
      </c>
      <c r="G10" s="4" t="s">
        <v>17</v>
      </c>
      <c r="H10" s="4" t="s">
        <v>13</v>
      </c>
      <c r="I10" s="4" t="s">
        <v>17</v>
      </c>
      <c r="J10" s="3" t="str">
        <f aca="false">IF(D10=F10,D10,IF(D10=H10,D10,IF(F10=H10,F10,"판단보류")))</f>
        <v>시설</v>
      </c>
      <c r="K10" s="3" t="str">
        <f aca="false">IF(E10=G10,E10,IF(E10=I10,E10,IF(G10=I10,G10,"판단보류")))</f>
        <v>긍정</v>
      </c>
      <c r="L10" s="3" t="str">
        <f aca="false">IF(OR(J10="판단보류",K10="판단보류"),"예 - 검토필요","")</f>
        <v/>
      </c>
    </row>
    <row r="11" customFormat="false" ht="15" hidden="false" customHeight="false" outlineLevel="0" collapsed="false">
      <c r="A11" s="3" t="n">
        <v>9</v>
      </c>
      <c r="B11" s="4" t="s">
        <v>27</v>
      </c>
      <c r="C11" s="4" t="s">
        <v>28</v>
      </c>
      <c r="D11" s="4" t="s">
        <v>13</v>
      </c>
      <c r="E11" s="4" t="s">
        <v>17</v>
      </c>
      <c r="F11" s="4" t="s">
        <v>13</v>
      </c>
      <c r="G11" s="4" t="s">
        <v>17</v>
      </c>
      <c r="H11" s="4" t="s">
        <v>13</v>
      </c>
      <c r="I11" s="4" t="s">
        <v>17</v>
      </c>
      <c r="J11" s="3" t="str">
        <f aca="false">IF(D11=F11,D11,IF(D11=H11,D11,IF(F11=H11,F11,"판단보류")))</f>
        <v>시설</v>
      </c>
      <c r="K11" s="3" t="str">
        <f aca="false">IF(E11=G11,E11,IF(E11=I11,E11,IF(G11=I11,G11,"판단보류")))</f>
        <v>긍정</v>
      </c>
      <c r="L11" s="3" t="str">
        <f aca="false">IF(OR(J11="판단보류",K11="판단보류"),"예 - 검토필요","")</f>
        <v/>
      </c>
    </row>
    <row r="12" customFormat="false" ht="15" hidden="false" customHeight="false" outlineLevel="0" collapsed="false">
      <c r="A12" s="3" t="n">
        <v>9</v>
      </c>
      <c r="B12" s="4" t="s">
        <v>27</v>
      </c>
      <c r="C12" s="4" t="s">
        <v>29</v>
      </c>
      <c r="D12" s="4" t="s">
        <v>19</v>
      </c>
      <c r="E12" s="4" t="s">
        <v>17</v>
      </c>
      <c r="F12" s="4" t="s">
        <v>19</v>
      </c>
      <c r="G12" s="4" t="s">
        <v>17</v>
      </c>
      <c r="H12" s="4" t="s">
        <v>19</v>
      </c>
      <c r="I12" s="4" t="s">
        <v>17</v>
      </c>
      <c r="J12" s="3" t="str">
        <f aca="false">IF(D12=F12,D12,IF(D12=H12,D12,IF(F12=H12,F12,"판단보류")))</f>
        <v>몰입환경</v>
      </c>
      <c r="K12" s="3" t="str">
        <f aca="false">IF(E12=G12,E12,IF(E12=I12,E12,IF(G12=I12,G12,"판단보류")))</f>
        <v>긍정</v>
      </c>
      <c r="L12" s="3" t="str">
        <f aca="false">IF(OR(J12="판단보류",K12="판단보류"),"예 - 검토필요","")</f>
        <v/>
      </c>
    </row>
    <row r="13" customFormat="false" ht="15" hidden="false" customHeight="false" outlineLevel="0" collapsed="false">
      <c r="A13" s="3" t="n">
        <v>10</v>
      </c>
      <c r="B13" s="4" t="s">
        <v>30</v>
      </c>
      <c r="C13" s="4" t="s">
        <v>31</v>
      </c>
      <c r="D13" s="4" t="s">
        <v>13</v>
      </c>
      <c r="E13" s="4" t="s">
        <v>17</v>
      </c>
      <c r="F13" s="4" t="s">
        <v>13</v>
      </c>
      <c r="G13" s="4" t="s">
        <v>17</v>
      </c>
      <c r="H13" s="4" t="s">
        <v>13</v>
      </c>
      <c r="I13" s="4" t="s">
        <v>17</v>
      </c>
      <c r="J13" s="3" t="str">
        <f aca="false">IF(D13=F13,D13,IF(D13=H13,D13,IF(F13=H13,F13,"판단보류")))</f>
        <v>시설</v>
      </c>
      <c r="K13" s="3" t="str">
        <f aca="false">IF(E13=G13,E13,IF(E13=I13,E13,IF(G13=I13,G13,"판단보류")))</f>
        <v>긍정</v>
      </c>
      <c r="L13" s="3" t="str">
        <f aca="false">IF(OR(J13="판단보류",K13="판단보류"),"예 - 검토필요","")</f>
        <v/>
      </c>
    </row>
    <row r="14" customFormat="false" ht="15" hidden="false" customHeight="false" outlineLevel="0" collapsed="false">
      <c r="A14" s="3" t="n">
        <v>10</v>
      </c>
      <c r="B14" s="4" t="s">
        <v>30</v>
      </c>
      <c r="C14" s="4" t="s">
        <v>32</v>
      </c>
      <c r="D14" s="4" t="s">
        <v>19</v>
      </c>
      <c r="E14" s="4" t="s">
        <v>17</v>
      </c>
      <c r="F14" s="4" t="s">
        <v>19</v>
      </c>
      <c r="G14" s="4" t="s">
        <v>17</v>
      </c>
      <c r="H14" s="4" t="s">
        <v>19</v>
      </c>
      <c r="I14" s="4" t="s">
        <v>17</v>
      </c>
      <c r="J14" s="3" t="str">
        <f aca="false">IF(D14=F14,D14,IF(D14=H14,D14,IF(F14=H14,F14,"판단보류")))</f>
        <v>몰입환경</v>
      </c>
      <c r="K14" s="3" t="str">
        <f aca="false">IF(E14=G14,E14,IF(E14=I14,E14,IF(G14=I14,G14,"판단보류")))</f>
        <v>긍정</v>
      </c>
      <c r="L14" s="3" t="str">
        <f aca="false">IF(OR(J14="판단보류",K14="판단보류"),"예 - 검토필요","")</f>
        <v/>
      </c>
    </row>
    <row r="15" customFormat="false" ht="15" hidden="false" customHeight="false" outlineLevel="0" collapsed="false">
      <c r="A15" s="3" t="n">
        <v>11</v>
      </c>
      <c r="B15" s="4" t="s">
        <v>33</v>
      </c>
      <c r="C15" s="4" t="s">
        <v>34</v>
      </c>
      <c r="D15" s="4" t="s">
        <v>19</v>
      </c>
      <c r="E15" s="4" t="s">
        <v>17</v>
      </c>
      <c r="F15" s="4" t="s">
        <v>19</v>
      </c>
      <c r="G15" s="4" t="s">
        <v>17</v>
      </c>
      <c r="H15" s="4" t="s">
        <v>19</v>
      </c>
      <c r="I15" s="4" t="s">
        <v>17</v>
      </c>
      <c r="J15" s="3" t="str">
        <f aca="false">IF(D15=F15,D15,IF(D15=H15,D15,IF(F15=H15,F15,"판단보류")))</f>
        <v>몰입환경</v>
      </c>
      <c r="K15" s="3" t="str">
        <f aca="false">IF(E15=G15,E15,IF(E15=I15,E15,IF(G15=I15,G15,"판단보류")))</f>
        <v>긍정</v>
      </c>
      <c r="L15" s="3" t="str">
        <f aca="false">IF(OR(J15="판단보류",K15="판단보류"),"예 - 검토필요","")</f>
        <v/>
      </c>
    </row>
    <row r="16" customFormat="false" ht="15" hidden="false" customHeight="false" outlineLevel="0" collapsed="false">
      <c r="A16" s="3" t="n">
        <v>11</v>
      </c>
      <c r="B16" s="4" t="s">
        <v>33</v>
      </c>
      <c r="C16" s="4" t="s">
        <v>35</v>
      </c>
      <c r="D16" s="4" t="s">
        <v>19</v>
      </c>
      <c r="E16" s="4" t="s">
        <v>17</v>
      </c>
      <c r="F16" s="4" t="s">
        <v>19</v>
      </c>
      <c r="G16" s="4" t="s">
        <v>17</v>
      </c>
      <c r="H16" s="4" t="s">
        <v>19</v>
      </c>
      <c r="I16" s="4" t="s">
        <v>17</v>
      </c>
      <c r="J16" s="3" t="str">
        <f aca="false">IF(D16=F16,D16,IF(D16=H16,D16,IF(F16=H16,F16,"판단보류")))</f>
        <v>몰입환경</v>
      </c>
      <c r="K16" s="3" t="str">
        <f aca="false">IF(E16=G16,E16,IF(E16=I16,E16,IF(G16=I16,G16,"판단보류")))</f>
        <v>긍정</v>
      </c>
      <c r="L16" s="3" t="str">
        <f aca="false">IF(OR(J16="판단보류",K16="판단보류"),"예 - 검토필요","")</f>
        <v/>
      </c>
    </row>
    <row r="17" customFormat="false" ht="15" hidden="false" customHeight="false" outlineLevel="0" collapsed="false">
      <c r="A17" s="3" t="n">
        <v>12</v>
      </c>
      <c r="B17" s="4" t="s">
        <v>36</v>
      </c>
      <c r="C17" s="4" t="s">
        <v>37</v>
      </c>
      <c r="D17" s="4" t="s">
        <v>13</v>
      </c>
      <c r="E17" s="4" t="s">
        <v>17</v>
      </c>
      <c r="F17" s="4" t="s">
        <v>13</v>
      </c>
      <c r="G17" s="4" t="s">
        <v>17</v>
      </c>
      <c r="H17" s="4" t="s">
        <v>13</v>
      </c>
      <c r="I17" s="4" t="s">
        <v>17</v>
      </c>
      <c r="J17" s="3" t="str">
        <f aca="false">IF(D17=F17,D17,IF(D17=H17,D17,IF(F17=H17,F17,"판단보류")))</f>
        <v>시설</v>
      </c>
      <c r="K17" s="3" t="str">
        <f aca="false">IF(E17=G17,E17,IF(E17=I17,E17,IF(G17=I17,G17,"판단보류")))</f>
        <v>긍정</v>
      </c>
      <c r="L17" s="3" t="str">
        <f aca="false">IF(OR(J17="판단보류",K17="판단보류"),"예 - 검토필요","")</f>
        <v/>
      </c>
    </row>
    <row r="18" customFormat="false" ht="15" hidden="false" customHeight="false" outlineLevel="0" collapsed="false">
      <c r="A18" s="3" t="n">
        <v>12</v>
      </c>
      <c r="B18" s="4" t="s">
        <v>36</v>
      </c>
      <c r="C18" s="4" t="s">
        <v>38</v>
      </c>
      <c r="D18" s="4" t="s">
        <v>13</v>
      </c>
      <c r="E18" s="4" t="s">
        <v>17</v>
      </c>
      <c r="F18" s="4" t="s">
        <v>13</v>
      </c>
      <c r="G18" s="4" t="s">
        <v>17</v>
      </c>
      <c r="H18" s="4" t="s">
        <v>13</v>
      </c>
      <c r="I18" s="4" t="s">
        <v>17</v>
      </c>
      <c r="J18" s="3" t="str">
        <f aca="false">IF(D18=F18,D18,IF(D18=H18,D18,IF(F18=H18,F18,"판단보류")))</f>
        <v>시설</v>
      </c>
      <c r="K18" s="3" t="str">
        <f aca="false">IF(E18=G18,E18,IF(E18=I18,E18,IF(G18=I18,G18,"판단보류")))</f>
        <v>긍정</v>
      </c>
      <c r="L18" s="3" t="str">
        <f aca="false">IF(OR(J18="판단보류",K18="판단보류"),"예 - 검토필요","")</f>
        <v/>
      </c>
    </row>
    <row r="19" customFormat="false" ht="15" hidden="false" customHeight="false" outlineLevel="0" collapsed="false">
      <c r="A19" s="3" t="n">
        <v>12</v>
      </c>
      <c r="B19" s="4" t="s">
        <v>36</v>
      </c>
      <c r="C19" s="4" t="s">
        <v>39</v>
      </c>
      <c r="D19" s="4" t="s">
        <v>19</v>
      </c>
      <c r="E19" s="4" t="s">
        <v>17</v>
      </c>
      <c r="F19" s="4" t="s">
        <v>19</v>
      </c>
      <c r="G19" s="4" t="s">
        <v>17</v>
      </c>
      <c r="H19" s="4" t="s">
        <v>19</v>
      </c>
      <c r="I19" s="4" t="s">
        <v>17</v>
      </c>
      <c r="J19" s="3" t="str">
        <f aca="false">IF(D19=F19,D19,IF(D19=H19,D19,IF(F19=H19,F19,"판단보류")))</f>
        <v>몰입환경</v>
      </c>
      <c r="K19" s="3" t="str">
        <f aca="false">IF(E19=G19,E19,IF(E19=I19,E19,IF(G19=I19,G19,"판단보류")))</f>
        <v>긍정</v>
      </c>
      <c r="L19" s="3" t="str">
        <f aca="false">IF(OR(J19="판단보류",K19="판단보류"),"예 - 검토필요","")</f>
        <v/>
      </c>
    </row>
    <row r="20" customFormat="false" ht="17.15" hidden="false" customHeight="false" outlineLevel="0" collapsed="false">
      <c r="A20" s="3" t="n">
        <v>13</v>
      </c>
      <c r="B20" s="4" t="s">
        <v>40</v>
      </c>
      <c r="C20" s="4" t="s">
        <v>40</v>
      </c>
      <c r="D20" s="4" t="s">
        <v>13</v>
      </c>
      <c r="E20" s="4" t="s">
        <v>17</v>
      </c>
      <c r="F20" s="4" t="s">
        <v>13</v>
      </c>
      <c r="G20" s="4" t="s">
        <v>17</v>
      </c>
      <c r="H20" s="4" t="s">
        <v>13</v>
      </c>
      <c r="I20" s="4" t="s">
        <v>17</v>
      </c>
      <c r="J20" s="3" t="str">
        <f aca="false">IF(D20=F20,D20,IF(D20=H20,D20,IF(F20=H20,F20,"판단보류")))</f>
        <v>시설</v>
      </c>
      <c r="K20" s="3" t="str">
        <f aca="false">IF(E20=G20,E20,IF(E20=I20,E20,IF(G20=I20,G20,"판단보류")))</f>
        <v>긍정</v>
      </c>
      <c r="L20" s="3" t="str">
        <f aca="false">IF(OR(J20="판단보류",K20="판단보류"),"예 - 검토필요","")</f>
        <v/>
      </c>
    </row>
    <row r="21" customFormat="false" ht="15" hidden="false" customHeight="false" outlineLevel="0" collapsed="false">
      <c r="A21" s="3" t="n">
        <v>14</v>
      </c>
      <c r="B21" s="4" t="s">
        <v>41</v>
      </c>
      <c r="C21" s="4" t="s">
        <v>41</v>
      </c>
      <c r="D21" s="4" t="s">
        <v>19</v>
      </c>
      <c r="E21" s="4" t="s">
        <v>17</v>
      </c>
      <c r="F21" s="4" t="s">
        <v>19</v>
      </c>
      <c r="G21" s="4" t="s">
        <v>17</v>
      </c>
      <c r="H21" s="4" t="s">
        <v>19</v>
      </c>
      <c r="I21" s="4" t="s">
        <v>17</v>
      </c>
      <c r="J21" s="3" t="str">
        <f aca="false">IF(D21=F21,D21,IF(D21=H21,D21,IF(F21=H21,F21,"판단보류")))</f>
        <v>몰입환경</v>
      </c>
      <c r="K21" s="3" t="str">
        <f aca="false">IF(E21=G21,E21,IF(E21=I21,E21,IF(G21=I21,G21,"판단보류")))</f>
        <v>긍정</v>
      </c>
      <c r="L21" s="3" t="str">
        <f aca="false">IF(OR(J21="판단보류",K21="판단보류"),"예 - 검토필요","")</f>
        <v/>
      </c>
    </row>
    <row r="22" customFormat="false" ht="15" hidden="false" customHeight="false" outlineLevel="0" collapsed="false">
      <c r="A22" s="3" t="n">
        <v>15</v>
      </c>
      <c r="B22" s="4" t="s">
        <v>42</v>
      </c>
      <c r="C22" s="4" t="s">
        <v>42</v>
      </c>
      <c r="D22" s="4" t="s">
        <v>13</v>
      </c>
      <c r="E22" s="4" t="s">
        <v>17</v>
      </c>
      <c r="F22" s="4" t="s">
        <v>13</v>
      </c>
      <c r="G22" s="4" t="s">
        <v>17</v>
      </c>
      <c r="H22" s="4" t="s">
        <v>13</v>
      </c>
      <c r="I22" s="4" t="s">
        <v>17</v>
      </c>
      <c r="J22" s="3" t="str">
        <f aca="false">IF(D22=F22,D22,IF(D22=H22,D22,IF(F22=H22,F22,"판단보류")))</f>
        <v>시설</v>
      </c>
      <c r="K22" s="3" t="str">
        <f aca="false">IF(E22=G22,E22,IF(E22=I22,E22,IF(G22=I22,G22,"판단보류")))</f>
        <v>긍정</v>
      </c>
      <c r="L22" s="3" t="str">
        <f aca="false">IF(OR(J22="판단보류",K22="판단보류"),"예 - 검토필요","")</f>
        <v/>
      </c>
    </row>
    <row r="23" customFormat="false" ht="15" hidden="false" customHeight="false" outlineLevel="0" collapsed="false">
      <c r="A23" s="3" t="n">
        <v>16</v>
      </c>
      <c r="B23" s="4" t="s">
        <v>43</v>
      </c>
      <c r="C23" s="4" t="s">
        <v>43</v>
      </c>
      <c r="D23" s="4" t="s">
        <v>13</v>
      </c>
      <c r="E23" s="4" t="s">
        <v>17</v>
      </c>
      <c r="F23" s="4" t="s">
        <v>13</v>
      </c>
      <c r="G23" s="4" t="s">
        <v>17</v>
      </c>
      <c r="H23" s="4" t="s">
        <v>13</v>
      </c>
      <c r="I23" s="4" t="s">
        <v>17</v>
      </c>
      <c r="J23" s="3" t="str">
        <f aca="false">IF(D23=F23,D23,IF(D23=H23,D23,IF(F23=H23,F23,"판단보류")))</f>
        <v>시설</v>
      </c>
      <c r="K23" s="3" t="str">
        <f aca="false">IF(E23=G23,E23,IF(E23=I23,E23,IF(G23=I23,G23,"판단보류")))</f>
        <v>긍정</v>
      </c>
      <c r="L23" s="3" t="str">
        <f aca="false">IF(OR(J23="판단보류",K23="판단보류"),"예 - 검토필요","")</f>
        <v/>
      </c>
    </row>
    <row r="24" customFormat="false" ht="15" hidden="false" customHeight="false" outlineLevel="0" collapsed="false">
      <c r="A24" s="3" t="n">
        <v>17</v>
      </c>
      <c r="B24" s="4" t="s">
        <v>44</v>
      </c>
      <c r="C24" s="4" t="s">
        <v>44</v>
      </c>
      <c r="D24" s="4" t="s">
        <v>19</v>
      </c>
      <c r="E24" s="4" t="s">
        <v>17</v>
      </c>
      <c r="F24" s="4" t="s">
        <v>19</v>
      </c>
      <c r="G24" s="4" t="s">
        <v>17</v>
      </c>
      <c r="H24" s="4" t="s">
        <v>19</v>
      </c>
      <c r="I24" s="4" t="s">
        <v>17</v>
      </c>
      <c r="J24" s="3" t="str">
        <f aca="false">IF(D24=F24,D24,IF(D24=H24,D24,IF(F24=H24,F24,"판단보류")))</f>
        <v>몰입환경</v>
      </c>
      <c r="K24" s="3" t="str">
        <f aca="false">IF(E24=G24,E24,IF(E24=I24,E24,IF(G24=I24,G24,"판단보류")))</f>
        <v>긍정</v>
      </c>
      <c r="L24" s="3" t="str">
        <f aca="false">IF(OR(J24="판단보류",K24="판단보류"),"예 - 검토필요","")</f>
        <v/>
      </c>
    </row>
    <row r="25" customFormat="false" ht="15" hidden="false" customHeight="false" outlineLevel="0" collapsed="false">
      <c r="A25" s="3" t="n">
        <v>18</v>
      </c>
      <c r="B25" s="4" t="s">
        <v>45</v>
      </c>
      <c r="C25" s="4" t="s">
        <v>45</v>
      </c>
      <c r="D25" s="4" t="s">
        <v>13</v>
      </c>
      <c r="E25" s="4" t="s">
        <v>17</v>
      </c>
      <c r="F25" s="4" t="s">
        <v>13</v>
      </c>
      <c r="G25" s="4" t="s">
        <v>17</v>
      </c>
      <c r="H25" s="4" t="s">
        <v>13</v>
      </c>
      <c r="I25" s="4" t="s">
        <v>17</v>
      </c>
      <c r="J25" s="3" t="str">
        <f aca="false">IF(D25=F25,D25,IF(D25=H25,D25,IF(F25=H25,F25,"판단보류")))</f>
        <v>시설</v>
      </c>
      <c r="K25" s="3" t="str">
        <f aca="false">IF(E25=G25,E25,IF(E25=I25,E25,IF(G25=I25,G25,"판단보류")))</f>
        <v>긍정</v>
      </c>
      <c r="L25" s="3" t="str">
        <f aca="false">IF(OR(J25="판단보류",K25="판단보류"),"예 - 검토필요","")</f>
        <v/>
      </c>
    </row>
    <row r="26" customFormat="false" ht="15" hidden="false" customHeight="false" outlineLevel="0" collapsed="false">
      <c r="A26" s="3" t="n">
        <v>19</v>
      </c>
      <c r="B26" s="4" t="s">
        <v>46</v>
      </c>
      <c r="C26" s="4" t="s">
        <v>47</v>
      </c>
      <c r="D26" s="4" t="s">
        <v>21</v>
      </c>
      <c r="E26" s="4" t="s">
        <v>17</v>
      </c>
      <c r="F26" s="4" t="s">
        <v>19</v>
      </c>
      <c r="G26" s="4" t="s">
        <v>17</v>
      </c>
      <c r="H26" s="4" t="s">
        <v>21</v>
      </c>
      <c r="I26" s="4" t="s">
        <v>17</v>
      </c>
      <c r="J26" s="3" t="str">
        <f aca="false">IF(D26=F26,D26,IF(D26=H26,D26,IF(F26=H26,F26,"판단보류")))</f>
        <v>소음</v>
      </c>
      <c r="K26" s="3" t="str">
        <f aca="false">IF(E26=G26,E26,IF(E26=I26,E26,IF(G26=I26,G26,"판단보류")))</f>
        <v>긍정</v>
      </c>
      <c r="L26" s="3" t="str">
        <f aca="false">IF(OR(J26="판단보류",K26="판단보류"),"예 - 검토필요","")</f>
        <v/>
      </c>
    </row>
    <row r="27" customFormat="false" ht="15" hidden="false" customHeight="false" outlineLevel="0" collapsed="false">
      <c r="A27" s="3" t="n">
        <v>19</v>
      </c>
      <c r="B27" s="4" t="s">
        <v>46</v>
      </c>
      <c r="C27" s="4" t="s">
        <v>48</v>
      </c>
      <c r="D27" s="4" t="s">
        <v>19</v>
      </c>
      <c r="E27" s="4" t="s">
        <v>17</v>
      </c>
      <c r="F27" s="4" t="s">
        <v>19</v>
      </c>
      <c r="G27" s="4" t="s">
        <v>17</v>
      </c>
      <c r="H27" s="4" t="s">
        <v>19</v>
      </c>
      <c r="I27" s="4" t="s">
        <v>17</v>
      </c>
      <c r="J27" s="3" t="str">
        <f aca="false">IF(D27=F27,D27,IF(D27=H27,D27,IF(F27=H27,F27,"판단보류")))</f>
        <v>몰입환경</v>
      </c>
      <c r="K27" s="3" t="str">
        <f aca="false">IF(E27=G27,E27,IF(E27=I27,E27,IF(G27=I27,G27,"판단보류")))</f>
        <v>긍정</v>
      </c>
      <c r="L27" s="3" t="str">
        <f aca="false">IF(OR(J27="판단보류",K27="판단보류"),"예 - 검토필요","")</f>
        <v/>
      </c>
    </row>
    <row r="28" customFormat="false" ht="15" hidden="false" customHeight="false" outlineLevel="0" collapsed="false">
      <c r="A28" s="3" t="n">
        <v>20</v>
      </c>
      <c r="B28" s="4" t="s">
        <v>49</v>
      </c>
      <c r="C28" s="4" t="s">
        <v>50</v>
      </c>
      <c r="D28" s="4" t="s">
        <v>13</v>
      </c>
      <c r="E28" s="4" t="s">
        <v>17</v>
      </c>
      <c r="F28" s="4" t="s">
        <v>13</v>
      </c>
      <c r="G28" s="4" t="s">
        <v>17</v>
      </c>
      <c r="H28" s="4" t="s">
        <v>13</v>
      </c>
      <c r="I28" s="4" t="s">
        <v>17</v>
      </c>
      <c r="J28" s="3" t="str">
        <f aca="false">IF(D28=F28,D28,IF(D28=H28,D28,IF(F28=H28,F28,"판단보류")))</f>
        <v>시설</v>
      </c>
      <c r="K28" s="3" t="str">
        <f aca="false">IF(E28=G28,E28,IF(E28=I28,E28,IF(G28=I28,G28,"판단보류")))</f>
        <v>긍정</v>
      </c>
      <c r="L28" s="3" t="str">
        <f aca="false">IF(OR(J28="판단보류",K28="판단보류"),"예 - 검토필요","")</f>
        <v/>
      </c>
    </row>
    <row r="29" customFormat="false" ht="15" hidden="false" customHeight="false" outlineLevel="0" collapsed="false">
      <c r="A29" s="3" t="n">
        <v>20</v>
      </c>
      <c r="B29" s="4" t="s">
        <v>49</v>
      </c>
      <c r="C29" s="4" t="s">
        <v>51</v>
      </c>
      <c r="D29" s="4" t="s">
        <v>19</v>
      </c>
      <c r="E29" s="4" t="s">
        <v>17</v>
      </c>
      <c r="F29" s="4" t="s">
        <v>19</v>
      </c>
      <c r="G29" s="4" t="s">
        <v>17</v>
      </c>
      <c r="H29" s="4" t="s">
        <v>19</v>
      </c>
      <c r="I29" s="4" t="s">
        <v>17</v>
      </c>
      <c r="J29" s="3" t="str">
        <f aca="false">IF(D29=F29,D29,IF(D29=H29,D29,IF(F29=H29,F29,"판단보류")))</f>
        <v>몰입환경</v>
      </c>
      <c r="K29" s="3" t="str">
        <f aca="false">IF(E29=G29,E29,IF(E29=I29,E29,IF(G29=I29,G29,"판단보류")))</f>
        <v>긍정</v>
      </c>
      <c r="L29" s="3" t="str">
        <f aca="false">IF(OR(J29="판단보류",K29="판단보류"),"예 - 검토필요","")</f>
        <v/>
      </c>
    </row>
    <row r="30" customFormat="false" ht="15" hidden="false" customHeight="false" outlineLevel="0" collapsed="false">
      <c r="A30" s="3" t="n">
        <v>21</v>
      </c>
      <c r="B30" s="4" t="s">
        <v>52</v>
      </c>
      <c r="C30" s="4" t="s">
        <v>52</v>
      </c>
      <c r="D30" s="4" t="s">
        <v>13</v>
      </c>
      <c r="E30" s="4" t="s">
        <v>17</v>
      </c>
      <c r="F30" s="4" t="s">
        <v>13</v>
      </c>
      <c r="G30" s="4" t="s">
        <v>17</v>
      </c>
      <c r="H30" s="4" t="s">
        <v>13</v>
      </c>
      <c r="I30" s="4" t="s">
        <v>17</v>
      </c>
      <c r="J30" s="3" t="str">
        <f aca="false">IF(D30=F30,D30,IF(D30=H30,D30,IF(F30=H30,F30,"판단보류")))</f>
        <v>시설</v>
      </c>
      <c r="K30" s="3" t="str">
        <f aca="false">IF(E30=G30,E30,IF(E30=I30,E30,IF(G30=I30,G30,"판단보류")))</f>
        <v>긍정</v>
      </c>
      <c r="L30" s="3" t="str">
        <f aca="false">IF(OR(J30="판단보류",K30="판단보류"),"예 - 검토필요","")</f>
        <v/>
      </c>
    </row>
    <row r="31" customFormat="false" ht="15" hidden="false" customHeight="false" outlineLevel="0" collapsed="false">
      <c r="A31" s="3" t="n">
        <v>22</v>
      </c>
      <c r="B31" s="4" t="s">
        <v>53</v>
      </c>
      <c r="C31" s="4" t="s">
        <v>54</v>
      </c>
      <c r="D31" s="4" t="s">
        <v>13</v>
      </c>
      <c r="E31" s="4" t="s">
        <v>17</v>
      </c>
      <c r="F31" s="4" t="s">
        <v>13</v>
      </c>
      <c r="G31" s="4" t="s">
        <v>17</v>
      </c>
      <c r="H31" s="4" t="s">
        <v>13</v>
      </c>
      <c r="I31" s="4" t="s">
        <v>17</v>
      </c>
      <c r="J31" s="3" t="str">
        <f aca="false">IF(D31=F31,D31,IF(D31=H31,D31,IF(F31=H31,F31,"판단보류")))</f>
        <v>시설</v>
      </c>
      <c r="K31" s="3" t="str">
        <f aca="false">IF(E31=G31,E31,IF(E31=I31,E31,IF(G31=I31,G31,"판단보류")))</f>
        <v>긍정</v>
      </c>
      <c r="L31" s="3" t="str">
        <f aca="false">IF(OR(J31="판단보류",K31="판단보류"),"예 - 검토필요","")</f>
        <v/>
      </c>
    </row>
    <row r="32" customFormat="false" ht="15" hidden="false" customHeight="false" outlineLevel="0" collapsed="false">
      <c r="A32" s="3" t="n">
        <v>22</v>
      </c>
      <c r="B32" s="4" t="s">
        <v>53</v>
      </c>
      <c r="C32" s="4" t="s">
        <v>55</v>
      </c>
      <c r="D32" s="4" t="s">
        <v>19</v>
      </c>
      <c r="E32" s="4" t="s">
        <v>17</v>
      </c>
      <c r="F32" s="4" t="s">
        <v>19</v>
      </c>
      <c r="G32" s="4" t="s">
        <v>17</v>
      </c>
      <c r="H32" s="4" t="s">
        <v>19</v>
      </c>
      <c r="I32" s="4" t="s">
        <v>17</v>
      </c>
      <c r="J32" s="3" t="str">
        <f aca="false">IF(D32=F32,D32,IF(D32=H32,D32,IF(F32=H32,F32,"판단보류")))</f>
        <v>몰입환경</v>
      </c>
      <c r="K32" s="3" t="str">
        <f aca="false">IF(E32=G32,E32,IF(E32=I32,E32,IF(G32=I32,G32,"판단보류")))</f>
        <v>긍정</v>
      </c>
      <c r="L32" s="3" t="str">
        <f aca="false">IF(OR(J32="판단보류",K32="판단보류"),"예 - 검토필요","")</f>
        <v/>
      </c>
    </row>
    <row r="33" customFormat="false" ht="15" hidden="false" customHeight="false" outlineLevel="0" collapsed="false">
      <c r="A33" s="3" t="n">
        <v>23</v>
      </c>
      <c r="B33" s="4" t="s">
        <v>56</v>
      </c>
      <c r="C33" s="4" t="s">
        <v>56</v>
      </c>
      <c r="D33" s="4" t="s">
        <v>13</v>
      </c>
      <c r="E33" s="4" t="s">
        <v>17</v>
      </c>
      <c r="F33" s="4" t="s">
        <v>13</v>
      </c>
      <c r="G33" s="4" t="s">
        <v>17</v>
      </c>
      <c r="H33" s="4" t="s">
        <v>13</v>
      </c>
      <c r="I33" s="4" t="s">
        <v>17</v>
      </c>
      <c r="J33" s="3" t="str">
        <f aca="false">IF(D33=F33,D33,IF(D33=H33,D33,IF(F33=H33,F33,"판단보류")))</f>
        <v>시설</v>
      </c>
      <c r="K33" s="3" t="str">
        <f aca="false">IF(E33=G33,E33,IF(E33=I33,E33,IF(G33=I33,G33,"판단보류")))</f>
        <v>긍정</v>
      </c>
      <c r="L33" s="3" t="str">
        <f aca="false">IF(OR(J33="판단보류",K33="판단보류"),"예 - 검토필요","")</f>
        <v/>
      </c>
    </row>
    <row r="34" customFormat="false" ht="15" hidden="false" customHeight="false" outlineLevel="0" collapsed="false">
      <c r="A34" s="3" t="n">
        <v>24</v>
      </c>
      <c r="B34" s="4" t="s">
        <v>57</v>
      </c>
      <c r="C34" s="4" t="s">
        <v>57</v>
      </c>
      <c r="D34" s="4" t="s">
        <v>19</v>
      </c>
      <c r="E34" s="4" t="s">
        <v>17</v>
      </c>
      <c r="F34" s="4" t="s">
        <v>19</v>
      </c>
      <c r="G34" s="4" t="s">
        <v>17</v>
      </c>
      <c r="H34" s="4" t="s">
        <v>19</v>
      </c>
      <c r="I34" s="4" t="s">
        <v>17</v>
      </c>
      <c r="J34" s="3" t="str">
        <f aca="false">IF(D34=F34,D34,IF(D34=H34,D34,IF(F34=H34,F34,"판단보류")))</f>
        <v>몰입환경</v>
      </c>
      <c r="K34" s="3" t="str">
        <f aca="false">IF(E34=G34,E34,IF(E34=I34,E34,IF(G34=I34,G34,"판단보류")))</f>
        <v>긍정</v>
      </c>
      <c r="L34" s="3" t="str">
        <f aca="false">IF(OR(J34="판단보류",K34="판단보류"),"예 - 검토필요","")</f>
        <v/>
      </c>
    </row>
    <row r="35" customFormat="false" ht="15" hidden="false" customHeight="false" outlineLevel="0" collapsed="false">
      <c r="A35" s="3" t="n">
        <v>25</v>
      </c>
      <c r="B35" s="4" t="s">
        <v>58</v>
      </c>
      <c r="C35" s="4" t="s">
        <v>58</v>
      </c>
      <c r="D35" s="4" t="s">
        <v>19</v>
      </c>
      <c r="E35" s="4" t="s">
        <v>17</v>
      </c>
      <c r="F35" s="4" t="s">
        <v>19</v>
      </c>
      <c r="G35" s="4" t="s">
        <v>17</v>
      </c>
      <c r="H35" s="4" t="s">
        <v>19</v>
      </c>
      <c r="I35" s="4" t="s">
        <v>17</v>
      </c>
      <c r="J35" s="3" t="str">
        <f aca="false">IF(D35=F35,D35,IF(D35=H35,D35,IF(F35=H35,F35,"판단보류")))</f>
        <v>몰입환경</v>
      </c>
      <c r="K35" s="3" t="str">
        <f aca="false">IF(E35=G35,E35,IF(E35=I35,E35,IF(G35=I35,G35,"판단보류")))</f>
        <v>긍정</v>
      </c>
      <c r="L35" s="3" t="str">
        <f aca="false">IF(OR(J35="판단보류",K35="판단보류"),"예 - 검토필요","")</f>
        <v/>
      </c>
    </row>
    <row r="36" customFormat="false" ht="15" hidden="false" customHeight="false" outlineLevel="0" collapsed="false">
      <c r="A36" s="3" t="n">
        <v>26</v>
      </c>
      <c r="B36" s="4" t="s">
        <v>59</v>
      </c>
      <c r="C36" s="4" t="s">
        <v>59</v>
      </c>
      <c r="D36" s="4" t="s">
        <v>13</v>
      </c>
      <c r="E36" s="4" t="s">
        <v>17</v>
      </c>
      <c r="F36" s="4" t="s">
        <v>13</v>
      </c>
      <c r="G36" s="4" t="s">
        <v>17</v>
      </c>
      <c r="H36" s="4" t="s">
        <v>13</v>
      </c>
      <c r="I36" s="4" t="s">
        <v>17</v>
      </c>
      <c r="J36" s="3" t="str">
        <f aca="false">IF(D36=F36,D36,IF(D36=H36,D36,IF(F36=H36,F36,"판단보류")))</f>
        <v>시설</v>
      </c>
      <c r="K36" s="3" t="str">
        <f aca="false">IF(E36=G36,E36,IF(E36=I36,E36,IF(G36=I36,G36,"판단보류")))</f>
        <v>긍정</v>
      </c>
      <c r="L36" s="3" t="str">
        <f aca="false">IF(OR(J36="판단보류",K36="판단보류"),"예 - 검토필요","")</f>
        <v/>
      </c>
    </row>
    <row r="37" customFormat="false" ht="15" hidden="false" customHeight="false" outlineLevel="0" collapsed="false">
      <c r="A37" s="3" t="n">
        <v>27</v>
      </c>
      <c r="B37" s="4" t="s">
        <v>60</v>
      </c>
      <c r="C37" s="4" t="s">
        <v>60</v>
      </c>
      <c r="D37" s="4" t="s">
        <v>21</v>
      </c>
      <c r="E37" s="4" t="s">
        <v>17</v>
      </c>
      <c r="F37" s="4" t="s">
        <v>21</v>
      </c>
      <c r="G37" s="4" t="s">
        <v>17</v>
      </c>
      <c r="H37" s="4" t="s">
        <v>21</v>
      </c>
      <c r="I37" s="4" t="s">
        <v>17</v>
      </c>
      <c r="J37" s="3" t="str">
        <f aca="false">IF(D37=F37,D37,IF(D37=H37,D37,IF(F37=H37,F37,"판단보류")))</f>
        <v>소음</v>
      </c>
      <c r="K37" s="3" t="str">
        <f aca="false">IF(E37=G37,E37,IF(E37=I37,E37,IF(G37=I37,G37,"판단보류")))</f>
        <v>긍정</v>
      </c>
      <c r="L37" s="3" t="str">
        <f aca="false">IF(OR(J37="판단보류",K37="판단보류"),"예 - 검토필요","")</f>
        <v/>
      </c>
    </row>
    <row r="38" customFormat="false" ht="15" hidden="false" customHeight="false" outlineLevel="0" collapsed="false">
      <c r="A38" s="3" t="n">
        <v>28</v>
      </c>
      <c r="B38" s="4" t="s">
        <v>61</v>
      </c>
      <c r="C38" s="4" t="s">
        <v>61</v>
      </c>
      <c r="D38" s="4" t="s">
        <v>19</v>
      </c>
      <c r="E38" s="4" t="s">
        <v>17</v>
      </c>
      <c r="F38" s="4" t="s">
        <v>19</v>
      </c>
      <c r="G38" s="4" t="s">
        <v>17</v>
      </c>
      <c r="H38" s="4" t="s">
        <v>19</v>
      </c>
      <c r="I38" s="4" t="s">
        <v>17</v>
      </c>
      <c r="J38" s="3" t="str">
        <f aca="false">IF(D38=F38,D38,IF(D38=H38,D38,IF(F38=H38,F38,"판단보류")))</f>
        <v>몰입환경</v>
      </c>
      <c r="K38" s="3" t="str">
        <f aca="false">IF(E38=G38,E38,IF(E38=I38,E38,IF(G38=I38,G38,"판단보류")))</f>
        <v>긍정</v>
      </c>
      <c r="L38" s="3" t="str">
        <f aca="false">IF(OR(J38="판단보류",K38="판단보류"),"예 - 검토필요","")</f>
        <v/>
      </c>
    </row>
    <row r="39" customFormat="false" ht="15" hidden="false" customHeight="false" outlineLevel="0" collapsed="false">
      <c r="A39" s="3" t="n">
        <v>29</v>
      </c>
      <c r="B39" s="4" t="s">
        <v>62</v>
      </c>
      <c r="C39" s="4" t="s">
        <v>62</v>
      </c>
      <c r="D39" s="4" t="s">
        <v>13</v>
      </c>
      <c r="E39" s="4" t="s">
        <v>17</v>
      </c>
      <c r="F39" s="4" t="s">
        <v>13</v>
      </c>
      <c r="G39" s="4" t="s">
        <v>17</v>
      </c>
      <c r="H39" s="4" t="s">
        <v>13</v>
      </c>
      <c r="I39" s="4" t="s">
        <v>17</v>
      </c>
      <c r="J39" s="3" t="str">
        <f aca="false">IF(D39=F39,D39,IF(D39=H39,D39,IF(F39=H39,F39,"판단보류")))</f>
        <v>시설</v>
      </c>
      <c r="K39" s="3" t="str">
        <f aca="false">IF(E39=G39,E39,IF(E39=I39,E39,IF(G39=I39,G39,"판단보류")))</f>
        <v>긍정</v>
      </c>
      <c r="L39" s="3" t="str">
        <f aca="false">IF(OR(J39="판단보류",K39="판단보류"),"예 - 검토필요","")</f>
        <v/>
      </c>
    </row>
    <row r="40" customFormat="false" ht="15" hidden="false" customHeight="false" outlineLevel="0" collapsed="false">
      <c r="A40" s="3" t="n">
        <v>30</v>
      </c>
      <c r="B40" s="4" t="s">
        <v>63</v>
      </c>
      <c r="C40" s="4" t="s">
        <v>63</v>
      </c>
      <c r="D40" s="4" t="s">
        <v>19</v>
      </c>
      <c r="E40" s="4" t="s">
        <v>17</v>
      </c>
      <c r="F40" s="4" t="s">
        <v>19</v>
      </c>
      <c r="G40" s="4" t="s">
        <v>17</v>
      </c>
      <c r="H40" s="4" t="s">
        <v>19</v>
      </c>
      <c r="I40" s="4" t="s">
        <v>17</v>
      </c>
      <c r="J40" s="3" t="str">
        <f aca="false">IF(D40=F40,D40,IF(D40=H40,D40,IF(F40=H40,F40,"판단보류")))</f>
        <v>몰입환경</v>
      </c>
      <c r="K40" s="3" t="str">
        <f aca="false">IF(E40=G40,E40,IF(E40=I40,E40,IF(G40=I40,G40,"판단보류")))</f>
        <v>긍정</v>
      </c>
      <c r="L40" s="3" t="str">
        <f aca="false">IF(OR(J40="판단보류",K40="판단보류"),"예 - 검토필요","")</f>
        <v/>
      </c>
    </row>
    <row r="41" customFormat="false" ht="15" hidden="false" customHeight="false" outlineLevel="0" collapsed="false">
      <c r="A41" s="3" t="n">
        <v>31</v>
      </c>
      <c r="B41" s="4" t="s">
        <v>64</v>
      </c>
      <c r="C41" s="4" t="s">
        <v>64</v>
      </c>
      <c r="D41" s="4" t="s">
        <v>19</v>
      </c>
      <c r="E41" s="4" t="s">
        <v>17</v>
      </c>
      <c r="F41" s="4" t="s">
        <v>21</v>
      </c>
      <c r="G41" s="4" t="s">
        <v>17</v>
      </c>
      <c r="H41" s="4" t="s">
        <v>21</v>
      </c>
      <c r="I41" s="4" t="s">
        <v>17</v>
      </c>
      <c r="J41" s="3" t="str">
        <f aca="false">IF(D41=F41,D41,IF(D41=H41,D41,IF(F41=H41,F41,"판단보류")))</f>
        <v>소음</v>
      </c>
      <c r="K41" s="3" t="str">
        <f aca="false">IF(E41=G41,E41,IF(E41=I41,E41,IF(G41=I41,G41,"판단보류")))</f>
        <v>긍정</v>
      </c>
      <c r="L41" s="3" t="str">
        <f aca="false">IF(OR(J41="판단보류",K41="판단보류"),"예 - 검토필요","")</f>
        <v/>
      </c>
    </row>
    <row r="42" customFormat="false" ht="15" hidden="false" customHeight="false" outlineLevel="0" collapsed="false">
      <c r="A42" s="3" t="n">
        <v>32</v>
      </c>
      <c r="B42" s="4" t="s">
        <v>65</v>
      </c>
      <c r="C42" s="4" t="s">
        <v>65</v>
      </c>
      <c r="D42" s="4" t="s">
        <v>13</v>
      </c>
      <c r="E42" s="4" t="s">
        <v>17</v>
      </c>
      <c r="F42" s="4" t="s">
        <v>13</v>
      </c>
      <c r="G42" s="4" t="s">
        <v>17</v>
      </c>
      <c r="H42" s="4" t="s">
        <v>13</v>
      </c>
      <c r="I42" s="4" t="s">
        <v>17</v>
      </c>
      <c r="J42" s="3" t="str">
        <f aca="false">IF(D42=F42,D42,IF(D42=H42,D42,IF(F42=H42,F42,"판단보류")))</f>
        <v>시설</v>
      </c>
      <c r="K42" s="3" t="str">
        <f aca="false">IF(E42=G42,E42,IF(E42=I42,E42,IF(G42=I42,G42,"판단보류")))</f>
        <v>긍정</v>
      </c>
      <c r="L42" s="3" t="str">
        <f aca="false">IF(OR(J42="판단보류",K42="판단보류"),"예 - 검토필요","")</f>
        <v/>
      </c>
    </row>
    <row r="43" customFormat="false" ht="15" hidden="false" customHeight="false" outlineLevel="0" collapsed="false">
      <c r="A43" s="3" t="n">
        <v>33</v>
      </c>
      <c r="B43" s="4" t="s">
        <v>66</v>
      </c>
      <c r="C43" s="4" t="s">
        <v>66</v>
      </c>
      <c r="D43" s="4" t="s">
        <v>13</v>
      </c>
      <c r="E43" s="4" t="s">
        <v>17</v>
      </c>
      <c r="F43" s="4" t="s">
        <v>13</v>
      </c>
      <c r="G43" s="4" t="s">
        <v>17</v>
      </c>
      <c r="H43" s="4" t="s">
        <v>13</v>
      </c>
      <c r="I43" s="4" t="s">
        <v>17</v>
      </c>
      <c r="J43" s="3" t="str">
        <f aca="false">IF(D43=F43,D43,IF(D43=H43,D43,IF(F43=H43,F43,"판단보류")))</f>
        <v>시설</v>
      </c>
      <c r="K43" s="3" t="str">
        <f aca="false">IF(E43=G43,E43,IF(E43=I43,E43,IF(G43=I43,G43,"판단보류")))</f>
        <v>긍정</v>
      </c>
      <c r="L43" s="3" t="str">
        <f aca="false">IF(OR(J43="판단보류",K43="판단보류"),"예 - 검토필요","")</f>
        <v/>
      </c>
    </row>
    <row r="44" customFormat="false" ht="15" hidden="false" customHeight="false" outlineLevel="0" collapsed="false">
      <c r="A44" s="3" t="n">
        <v>34</v>
      </c>
      <c r="B44" s="4" t="s">
        <v>67</v>
      </c>
      <c r="C44" s="4" t="s">
        <v>68</v>
      </c>
      <c r="D44" s="4" t="s">
        <v>21</v>
      </c>
      <c r="E44" s="4" t="s">
        <v>17</v>
      </c>
      <c r="F44" s="4" t="s">
        <v>21</v>
      </c>
      <c r="G44" s="4" t="s">
        <v>17</v>
      </c>
      <c r="H44" s="4" t="s">
        <v>21</v>
      </c>
      <c r="I44" s="4" t="s">
        <v>17</v>
      </c>
      <c r="J44" s="3" t="str">
        <f aca="false">IF(D44=F44,D44,IF(D44=H44,D44,IF(F44=H44,F44,"판단보류")))</f>
        <v>소음</v>
      </c>
      <c r="K44" s="3" t="str">
        <f aca="false">IF(E44=G44,E44,IF(E44=I44,E44,IF(G44=I44,G44,"판단보류")))</f>
        <v>긍정</v>
      </c>
      <c r="L44" s="3" t="str">
        <f aca="false">IF(OR(J44="판단보류",K44="판단보류"),"예 - 검토필요","")</f>
        <v/>
      </c>
    </row>
    <row r="45" customFormat="false" ht="15" hidden="false" customHeight="false" outlineLevel="0" collapsed="false">
      <c r="A45" s="3" t="n">
        <v>34</v>
      </c>
      <c r="B45" s="4" t="s">
        <v>67</v>
      </c>
      <c r="C45" s="4" t="s">
        <v>69</v>
      </c>
      <c r="D45" s="4" t="s">
        <v>19</v>
      </c>
      <c r="E45" s="4" t="s">
        <v>17</v>
      </c>
      <c r="F45" s="4" t="s">
        <v>19</v>
      </c>
      <c r="G45" s="4" t="s">
        <v>17</v>
      </c>
      <c r="H45" s="4" t="s">
        <v>19</v>
      </c>
      <c r="I45" s="4" t="s">
        <v>17</v>
      </c>
      <c r="J45" s="3" t="str">
        <f aca="false">IF(D45=F45,D45,IF(D45=H45,D45,IF(F45=H45,F45,"판단보류")))</f>
        <v>몰입환경</v>
      </c>
      <c r="K45" s="3" t="str">
        <f aca="false">IF(E45=G45,E45,IF(E45=I45,E45,IF(G45=I45,G45,"판단보류")))</f>
        <v>긍정</v>
      </c>
      <c r="L45" s="3" t="str">
        <f aca="false">IF(OR(J45="판단보류",K45="판단보류"),"예 - 검토필요","")</f>
        <v/>
      </c>
    </row>
    <row r="46" customFormat="false" ht="15" hidden="false" customHeight="false" outlineLevel="0" collapsed="false">
      <c r="A46" s="3" t="n">
        <v>35</v>
      </c>
      <c r="B46" s="4" t="s">
        <v>70</v>
      </c>
      <c r="C46" s="4" t="s">
        <v>71</v>
      </c>
      <c r="D46" s="4" t="s">
        <v>21</v>
      </c>
      <c r="E46" s="4" t="s">
        <v>17</v>
      </c>
      <c r="F46" s="4" t="s">
        <v>21</v>
      </c>
      <c r="G46" s="4" t="s">
        <v>17</v>
      </c>
      <c r="H46" s="4" t="s">
        <v>21</v>
      </c>
      <c r="I46" s="4" t="s">
        <v>17</v>
      </c>
      <c r="J46" s="3" t="str">
        <f aca="false">IF(D46=F46,D46,IF(D46=H46,D46,IF(F46=H46,F46,"판단보류")))</f>
        <v>소음</v>
      </c>
      <c r="K46" s="3" t="str">
        <f aca="false">IF(E46=G46,E46,IF(E46=I46,E46,IF(G46=I46,G46,"판단보류")))</f>
        <v>긍정</v>
      </c>
      <c r="L46" s="3" t="str">
        <f aca="false">IF(OR(J46="판단보류",K46="판단보류"),"예 - 검토필요","")</f>
        <v/>
      </c>
    </row>
    <row r="47" customFormat="false" ht="15" hidden="false" customHeight="false" outlineLevel="0" collapsed="false">
      <c r="A47" s="3" t="n">
        <v>35</v>
      </c>
      <c r="B47" s="4" t="s">
        <v>70</v>
      </c>
      <c r="C47" s="4" t="s">
        <v>72</v>
      </c>
      <c r="D47" s="4" t="s">
        <v>19</v>
      </c>
      <c r="E47" s="4" t="s">
        <v>17</v>
      </c>
      <c r="F47" s="4" t="s">
        <v>19</v>
      </c>
      <c r="G47" s="4" t="s">
        <v>17</v>
      </c>
      <c r="H47" s="4" t="s">
        <v>19</v>
      </c>
      <c r="I47" s="4" t="s">
        <v>17</v>
      </c>
      <c r="J47" s="3" t="str">
        <f aca="false">IF(D47=F47,D47,IF(D47=H47,D47,IF(F47=H47,F47,"판단보류")))</f>
        <v>몰입환경</v>
      </c>
      <c r="K47" s="3" t="str">
        <f aca="false">IF(E47=G47,E47,IF(E47=I47,E47,IF(G47=I47,G47,"판단보류")))</f>
        <v>긍정</v>
      </c>
      <c r="L47" s="3" t="str">
        <f aca="false">IF(OR(J47="판단보류",K47="판단보류"),"예 - 검토필요","")</f>
        <v/>
      </c>
    </row>
    <row r="48" customFormat="false" ht="15" hidden="false" customHeight="false" outlineLevel="0" collapsed="false">
      <c r="A48" s="3" t="n">
        <v>36</v>
      </c>
      <c r="B48" s="4" t="s">
        <v>73</v>
      </c>
      <c r="C48" s="4" t="s">
        <v>73</v>
      </c>
      <c r="D48" s="4" t="s">
        <v>13</v>
      </c>
      <c r="E48" s="4" t="s">
        <v>17</v>
      </c>
      <c r="F48" s="4" t="s">
        <v>13</v>
      </c>
      <c r="G48" s="4" t="s">
        <v>17</v>
      </c>
      <c r="H48" s="4" t="s">
        <v>13</v>
      </c>
      <c r="I48" s="4" t="s">
        <v>17</v>
      </c>
      <c r="J48" s="3" t="str">
        <f aca="false">IF(D48=F48,D48,IF(D48=H48,D48,IF(F48=H48,F48,"판단보류")))</f>
        <v>시설</v>
      </c>
      <c r="K48" s="3" t="str">
        <f aca="false">IF(E48=G48,E48,IF(E48=I48,E48,IF(G48=I48,G48,"판단보류")))</f>
        <v>긍정</v>
      </c>
      <c r="L48" s="3" t="str">
        <f aca="false">IF(OR(J48="판단보류",K48="판단보류"),"예 - 검토필요","")</f>
        <v/>
      </c>
    </row>
    <row r="49" customFormat="false" ht="15" hidden="false" customHeight="false" outlineLevel="0" collapsed="false">
      <c r="A49" s="3" t="n">
        <v>37</v>
      </c>
      <c r="B49" s="4" t="s">
        <v>74</v>
      </c>
      <c r="C49" s="4" t="s">
        <v>74</v>
      </c>
      <c r="D49" s="4" t="s">
        <v>19</v>
      </c>
      <c r="E49" s="4" t="s">
        <v>17</v>
      </c>
      <c r="F49" s="4" t="s">
        <v>19</v>
      </c>
      <c r="G49" s="4" t="s">
        <v>17</v>
      </c>
      <c r="H49" s="4" t="s">
        <v>19</v>
      </c>
      <c r="I49" s="4" t="s">
        <v>17</v>
      </c>
      <c r="J49" s="3" t="str">
        <f aca="false">IF(D49=F49,D49,IF(D49=H49,D49,IF(F49=H49,F49,"판단보류")))</f>
        <v>몰입환경</v>
      </c>
      <c r="K49" s="3" t="str">
        <f aca="false">IF(E49=G49,E49,IF(E49=I49,E49,IF(G49=I49,G49,"판단보류")))</f>
        <v>긍정</v>
      </c>
      <c r="L49" s="3" t="str">
        <f aca="false">IF(OR(J49="판단보류",K49="판단보류"),"예 - 검토필요","")</f>
        <v/>
      </c>
    </row>
    <row r="50" customFormat="false" ht="15" hidden="false" customHeight="false" outlineLevel="0" collapsed="false">
      <c r="A50" s="3" t="n">
        <v>38</v>
      </c>
      <c r="B50" s="4" t="s">
        <v>75</v>
      </c>
      <c r="C50" s="4" t="s">
        <v>76</v>
      </c>
      <c r="D50" s="4" t="s">
        <v>21</v>
      </c>
      <c r="E50" s="4" t="s">
        <v>17</v>
      </c>
      <c r="F50" s="4" t="s">
        <v>21</v>
      </c>
      <c r="G50" s="4" t="s">
        <v>17</v>
      </c>
      <c r="H50" s="4" t="s">
        <v>21</v>
      </c>
      <c r="I50" s="4" t="s">
        <v>17</v>
      </c>
      <c r="J50" s="3" t="str">
        <f aca="false">IF(D50=F50,D50,IF(D50=H50,D50,IF(F50=H50,F50,"판단보류")))</f>
        <v>소음</v>
      </c>
      <c r="K50" s="3" t="str">
        <f aca="false">IF(E50=G50,E50,IF(E50=I50,E50,IF(G50=I50,G50,"판단보류")))</f>
        <v>긍정</v>
      </c>
      <c r="L50" s="3" t="str">
        <f aca="false">IF(OR(J50="판단보류",K50="판단보류"),"예 - 검토필요","")</f>
        <v/>
      </c>
    </row>
    <row r="51" customFormat="false" ht="15" hidden="false" customHeight="false" outlineLevel="0" collapsed="false">
      <c r="A51" s="3" t="n">
        <v>38</v>
      </c>
      <c r="B51" s="4" t="s">
        <v>75</v>
      </c>
      <c r="C51" s="4" t="s">
        <v>77</v>
      </c>
      <c r="D51" s="4" t="s">
        <v>19</v>
      </c>
      <c r="E51" s="4" t="s">
        <v>17</v>
      </c>
      <c r="F51" s="4" t="s">
        <v>19</v>
      </c>
      <c r="G51" s="4" t="s">
        <v>17</v>
      </c>
      <c r="H51" s="4" t="s">
        <v>19</v>
      </c>
      <c r="I51" s="4" t="s">
        <v>17</v>
      </c>
      <c r="J51" s="3" t="str">
        <f aca="false">IF(D51=F51,D51,IF(D51=H51,D51,IF(F51=H51,F51,"판단보류")))</f>
        <v>몰입환경</v>
      </c>
      <c r="K51" s="3" t="str">
        <f aca="false">IF(E51=G51,E51,IF(E51=I51,E51,IF(G51=I51,G51,"판단보류")))</f>
        <v>긍정</v>
      </c>
      <c r="L51" s="3" t="str">
        <f aca="false">IF(OR(J51="판단보류",K51="판단보류"),"예 - 검토필요","")</f>
        <v/>
      </c>
    </row>
    <row r="52" customFormat="false" ht="15" hidden="false" customHeight="false" outlineLevel="0" collapsed="false">
      <c r="A52" s="3" t="n">
        <v>39</v>
      </c>
      <c r="B52" s="4" t="s">
        <v>78</v>
      </c>
      <c r="C52" s="4" t="s">
        <v>78</v>
      </c>
      <c r="D52" s="4" t="s">
        <v>79</v>
      </c>
      <c r="E52" s="4" t="s">
        <v>17</v>
      </c>
      <c r="F52" s="4" t="s">
        <v>79</v>
      </c>
      <c r="G52" s="4" t="s">
        <v>17</v>
      </c>
      <c r="H52" s="4" t="s">
        <v>79</v>
      </c>
      <c r="I52" s="4" t="s">
        <v>17</v>
      </c>
      <c r="J52" s="3" t="str">
        <f aca="false">IF(D52=F52,D52,IF(D52=H52,D52,IF(F52=H52,F52,"판단보류")))</f>
        <v>혼잡도</v>
      </c>
      <c r="K52" s="3" t="str">
        <f aca="false">IF(E52=G52,E52,IF(E52=I52,E52,IF(G52=I52,G52,"판단보류")))</f>
        <v>긍정</v>
      </c>
      <c r="L52" s="3" t="str">
        <f aca="false">IF(OR(J52="판단보류",K52="판단보류"),"예 - 검토필요","")</f>
        <v/>
      </c>
    </row>
    <row r="53" customFormat="false" ht="15" hidden="false" customHeight="false" outlineLevel="0" collapsed="false">
      <c r="A53" s="3" t="n">
        <v>40</v>
      </c>
      <c r="B53" s="4" t="s">
        <v>80</v>
      </c>
      <c r="C53" s="4" t="s">
        <v>81</v>
      </c>
      <c r="D53" s="4" t="s">
        <v>13</v>
      </c>
      <c r="E53" s="4" t="s">
        <v>17</v>
      </c>
      <c r="F53" s="4" t="s">
        <v>13</v>
      </c>
      <c r="G53" s="4" t="s">
        <v>17</v>
      </c>
      <c r="H53" s="4" t="s">
        <v>13</v>
      </c>
      <c r="I53" s="4" t="s">
        <v>17</v>
      </c>
      <c r="J53" s="3" t="str">
        <f aca="false">IF(D53=F53,D53,IF(D53=H53,D53,IF(F53=H53,F53,"판단보류")))</f>
        <v>시설</v>
      </c>
      <c r="K53" s="3" t="str">
        <f aca="false">IF(E53=G53,E53,IF(E53=I53,E53,IF(G53=I53,G53,"판단보류")))</f>
        <v>긍정</v>
      </c>
      <c r="L53" s="3" t="str">
        <f aca="false">IF(OR(J53="판단보류",K53="판단보류"),"예 - 검토필요","")</f>
        <v/>
      </c>
    </row>
    <row r="54" customFormat="false" ht="15" hidden="false" customHeight="false" outlineLevel="0" collapsed="false">
      <c r="A54" s="3" t="n">
        <v>40</v>
      </c>
      <c r="B54" s="4" t="s">
        <v>80</v>
      </c>
      <c r="C54" s="4" t="s">
        <v>82</v>
      </c>
      <c r="D54" s="4" t="s">
        <v>19</v>
      </c>
      <c r="E54" s="4" t="s">
        <v>17</v>
      </c>
      <c r="F54" s="4" t="s">
        <v>19</v>
      </c>
      <c r="G54" s="4" t="s">
        <v>17</v>
      </c>
      <c r="H54" s="4" t="s">
        <v>13</v>
      </c>
      <c r="I54" s="4" t="s">
        <v>17</v>
      </c>
      <c r="J54" s="3" t="str">
        <f aca="false">IF(D54=F54,D54,IF(D54=H54,D54,IF(F54=H54,F54,"판단보류")))</f>
        <v>몰입환경</v>
      </c>
      <c r="K54" s="3" t="str">
        <f aca="false">IF(E54=G54,E54,IF(E54=I54,E54,IF(G54=I54,G54,"판단보류")))</f>
        <v>긍정</v>
      </c>
      <c r="L54" s="3" t="str">
        <f aca="false">IF(OR(J54="판단보류",K54="판단보류"),"예 - 검토필요","")</f>
        <v/>
      </c>
    </row>
    <row r="55" customFormat="false" ht="15" hidden="false" customHeight="false" outlineLevel="0" collapsed="false">
      <c r="A55" s="3" t="n">
        <v>41</v>
      </c>
      <c r="B55" s="4" t="s">
        <v>83</v>
      </c>
      <c r="C55" s="4" t="s">
        <v>83</v>
      </c>
      <c r="D55" s="4" t="s">
        <v>13</v>
      </c>
      <c r="E55" s="4" t="s">
        <v>17</v>
      </c>
      <c r="F55" s="4" t="s">
        <v>13</v>
      </c>
      <c r="G55" s="4" t="s">
        <v>17</v>
      </c>
      <c r="H55" s="4" t="s">
        <v>13</v>
      </c>
      <c r="I55" s="4" t="s">
        <v>17</v>
      </c>
      <c r="J55" s="3" t="str">
        <f aca="false">IF(D55=F55,D55,IF(D55=H55,D55,IF(F55=H55,F55,"판단보류")))</f>
        <v>시설</v>
      </c>
      <c r="K55" s="3" t="str">
        <f aca="false">IF(E55=G55,E55,IF(E55=I55,E55,IF(G55=I55,G55,"판단보류")))</f>
        <v>긍정</v>
      </c>
      <c r="L55" s="3" t="str">
        <f aca="false">IF(OR(J55="판단보류",K55="판단보류"),"예 - 검토필요","")</f>
        <v/>
      </c>
    </row>
    <row r="56" customFormat="false" ht="15" hidden="false" customHeight="false" outlineLevel="0" collapsed="false">
      <c r="A56" s="3" t="n">
        <v>42</v>
      </c>
      <c r="B56" s="4" t="s">
        <v>84</v>
      </c>
      <c r="C56" s="4" t="s">
        <v>85</v>
      </c>
      <c r="D56" s="4" t="s">
        <v>13</v>
      </c>
      <c r="E56" s="4" t="s">
        <v>17</v>
      </c>
      <c r="F56" s="4" t="s">
        <v>13</v>
      </c>
      <c r="G56" s="4" t="s">
        <v>17</v>
      </c>
      <c r="H56" s="4" t="s">
        <v>13</v>
      </c>
      <c r="I56" s="4" t="s">
        <v>17</v>
      </c>
      <c r="J56" s="3" t="str">
        <f aca="false">IF(D56=F56,D56,IF(D56=H56,D56,IF(F56=H56,F56,"판단보류")))</f>
        <v>시설</v>
      </c>
      <c r="K56" s="3" t="str">
        <f aca="false">IF(E56=G56,E56,IF(E56=I56,E56,IF(G56=I56,G56,"판단보류")))</f>
        <v>긍정</v>
      </c>
      <c r="L56" s="3" t="str">
        <f aca="false">IF(OR(J56="판단보류",K56="판단보류"),"예 - 검토필요","")</f>
        <v/>
      </c>
    </row>
    <row r="57" customFormat="false" ht="15" hidden="false" customHeight="false" outlineLevel="0" collapsed="false">
      <c r="A57" s="3" t="n">
        <v>42</v>
      </c>
      <c r="B57" s="4" t="s">
        <v>84</v>
      </c>
      <c r="C57" s="4" t="s">
        <v>86</v>
      </c>
      <c r="D57" s="4" t="s">
        <v>19</v>
      </c>
      <c r="E57" s="4" t="s">
        <v>17</v>
      </c>
      <c r="F57" s="4" t="s">
        <v>19</v>
      </c>
      <c r="G57" s="4" t="s">
        <v>17</v>
      </c>
      <c r="H57" s="4" t="s">
        <v>19</v>
      </c>
      <c r="I57" s="4" t="s">
        <v>17</v>
      </c>
      <c r="J57" s="3" t="str">
        <f aca="false">IF(D57=F57,D57,IF(D57=H57,D57,IF(F57=H57,F57,"판단보류")))</f>
        <v>몰입환경</v>
      </c>
      <c r="K57" s="3" t="str">
        <f aca="false">IF(E57=G57,E57,IF(E57=I57,E57,IF(G57=I57,G57,"판단보류")))</f>
        <v>긍정</v>
      </c>
      <c r="L57" s="3" t="str">
        <f aca="false">IF(OR(J57="판단보류",K57="판단보류"),"예 - 검토필요","")</f>
        <v/>
      </c>
    </row>
    <row r="58" customFormat="false" ht="15" hidden="false" customHeight="false" outlineLevel="0" collapsed="false">
      <c r="A58" s="3" t="n">
        <v>43</v>
      </c>
      <c r="B58" s="4" t="s">
        <v>87</v>
      </c>
      <c r="C58" s="4" t="s">
        <v>88</v>
      </c>
      <c r="D58" s="4" t="s">
        <v>13</v>
      </c>
      <c r="E58" s="4" t="s">
        <v>17</v>
      </c>
      <c r="F58" s="4" t="s">
        <v>13</v>
      </c>
      <c r="G58" s="4" t="s">
        <v>17</v>
      </c>
      <c r="H58" s="4" t="s">
        <v>13</v>
      </c>
      <c r="I58" s="4" t="s">
        <v>17</v>
      </c>
      <c r="J58" s="3" t="str">
        <f aca="false">IF(D58=F58,D58,IF(D58=H58,D58,IF(F58=H58,F58,"판단보류")))</f>
        <v>시설</v>
      </c>
      <c r="K58" s="3" t="str">
        <f aca="false">IF(E58=G58,E58,IF(E58=I58,E58,IF(G58=I58,G58,"판단보류")))</f>
        <v>긍정</v>
      </c>
      <c r="L58" s="3" t="str">
        <f aca="false">IF(OR(J58="판단보류",K58="판단보류"),"예 - 검토필요","")</f>
        <v/>
      </c>
    </row>
    <row r="59" customFormat="false" ht="15" hidden="false" customHeight="false" outlineLevel="0" collapsed="false">
      <c r="A59" s="3" t="n">
        <v>43</v>
      </c>
      <c r="B59" s="4" t="s">
        <v>87</v>
      </c>
      <c r="C59" s="4" t="s">
        <v>58</v>
      </c>
      <c r="D59" s="4" t="s">
        <v>19</v>
      </c>
      <c r="E59" s="4" t="s">
        <v>17</v>
      </c>
      <c r="F59" s="4" t="s">
        <v>19</v>
      </c>
      <c r="G59" s="4" t="s">
        <v>17</v>
      </c>
      <c r="H59" s="4" t="s">
        <v>19</v>
      </c>
      <c r="I59" s="4" t="s">
        <v>17</v>
      </c>
      <c r="J59" s="3" t="str">
        <f aca="false">IF(D59=F59,D59,IF(D59=H59,D59,IF(F59=H59,F59,"판단보류")))</f>
        <v>몰입환경</v>
      </c>
      <c r="K59" s="3" t="str">
        <f aca="false">IF(E59=G59,E59,IF(E59=I59,E59,IF(G59=I59,G59,"판단보류")))</f>
        <v>긍정</v>
      </c>
      <c r="L59" s="3" t="str">
        <f aca="false">IF(OR(J59="판단보류",K59="판단보류"),"예 - 검토필요","")</f>
        <v/>
      </c>
    </row>
    <row r="60" customFormat="false" ht="15" hidden="false" customHeight="false" outlineLevel="0" collapsed="false">
      <c r="A60" s="3" t="n">
        <v>44</v>
      </c>
      <c r="B60" s="4" t="s">
        <v>89</v>
      </c>
      <c r="C60" s="4" t="s">
        <v>89</v>
      </c>
      <c r="D60" s="4" t="s">
        <v>13</v>
      </c>
      <c r="E60" s="4" t="s">
        <v>14</v>
      </c>
      <c r="F60" s="4" t="s">
        <v>13</v>
      </c>
      <c r="G60" s="4" t="s">
        <v>14</v>
      </c>
      <c r="H60" s="4" t="s">
        <v>13</v>
      </c>
      <c r="I60" s="4" t="s">
        <v>14</v>
      </c>
      <c r="J60" s="3" t="str">
        <f aca="false">IF(D60=F60,D60,IF(D60=H60,D60,IF(F60=H60,F60,"판단보류")))</f>
        <v>시설</v>
      </c>
      <c r="K60" s="3" t="str">
        <f aca="false">IF(E60=G60,E60,IF(E60=I60,E60,IF(G60=I60,G60,"판단보류")))</f>
        <v>부정</v>
      </c>
      <c r="L60" s="3" t="str">
        <f aca="false">IF(OR(J60="판단보류",K60="판단보류"),"예 - 검토필요","")</f>
        <v/>
      </c>
    </row>
    <row r="61" customFormat="false" ht="15" hidden="false" customHeight="false" outlineLevel="0" collapsed="false">
      <c r="A61" s="3" t="n">
        <v>45</v>
      </c>
      <c r="B61" s="4" t="s">
        <v>90</v>
      </c>
      <c r="C61" s="4" t="s">
        <v>62</v>
      </c>
      <c r="D61" s="4" t="s">
        <v>13</v>
      </c>
      <c r="E61" s="4" t="s">
        <v>17</v>
      </c>
      <c r="F61" s="4" t="s">
        <v>13</v>
      </c>
      <c r="G61" s="4" t="s">
        <v>17</v>
      </c>
      <c r="H61" s="4" t="s">
        <v>13</v>
      </c>
      <c r="I61" s="4" t="s">
        <v>17</v>
      </c>
      <c r="J61" s="3" t="str">
        <f aca="false">IF(D61=F61,D61,IF(D61=H61,D61,IF(F61=H61,F61,"판단보류")))</f>
        <v>시설</v>
      </c>
      <c r="K61" s="3" t="str">
        <f aca="false">IF(E61=G61,E61,IF(E61=I61,E61,IF(G61=I61,G61,"판단보류")))</f>
        <v>긍정</v>
      </c>
      <c r="L61" s="3" t="str">
        <f aca="false">IF(OR(J61="판단보류",K61="판단보류"),"예 - 검토필요","")</f>
        <v/>
      </c>
    </row>
    <row r="62" customFormat="false" ht="15" hidden="false" customHeight="false" outlineLevel="0" collapsed="false">
      <c r="A62" s="3" t="n">
        <v>45</v>
      </c>
      <c r="B62" s="4" t="s">
        <v>90</v>
      </c>
      <c r="C62" s="4" t="s">
        <v>91</v>
      </c>
      <c r="D62" s="4" t="s">
        <v>19</v>
      </c>
      <c r="E62" s="4" t="s">
        <v>17</v>
      </c>
      <c r="F62" s="4" t="s">
        <v>13</v>
      </c>
      <c r="G62" s="4" t="s">
        <v>17</v>
      </c>
      <c r="H62" s="4" t="s">
        <v>13</v>
      </c>
      <c r="I62" s="4" t="s">
        <v>17</v>
      </c>
      <c r="J62" s="3" t="str">
        <f aca="false">IF(D62=F62,D62,IF(D62=H62,D62,IF(F62=H62,F62,"판단보류")))</f>
        <v>시설</v>
      </c>
      <c r="K62" s="3" t="str">
        <f aca="false">IF(E62=G62,E62,IF(E62=I62,E62,IF(G62=I62,G62,"판단보류")))</f>
        <v>긍정</v>
      </c>
      <c r="L62" s="3" t="str">
        <f aca="false">IF(OR(J62="판단보류",K62="판단보류"),"예 - 검토필요","")</f>
        <v/>
      </c>
    </row>
    <row r="63" customFormat="false" ht="15" hidden="false" customHeight="false" outlineLevel="0" collapsed="false">
      <c r="A63" s="3" t="n">
        <v>46</v>
      </c>
      <c r="B63" s="4" t="s">
        <v>92</v>
      </c>
      <c r="C63" s="4" t="s">
        <v>93</v>
      </c>
      <c r="D63" s="4" t="s">
        <v>13</v>
      </c>
      <c r="E63" s="4" t="s">
        <v>17</v>
      </c>
      <c r="F63" s="4" t="s">
        <v>13</v>
      </c>
      <c r="G63" s="4" t="s">
        <v>17</v>
      </c>
      <c r="H63" s="4" t="s">
        <v>13</v>
      </c>
      <c r="I63" s="4" t="s">
        <v>17</v>
      </c>
      <c r="J63" s="3" t="str">
        <f aca="false">IF(D63=F63,D63,IF(D63=H63,D63,IF(F63=H63,F63,"판단보류")))</f>
        <v>시설</v>
      </c>
      <c r="K63" s="3" t="str">
        <f aca="false">IF(E63=G63,E63,IF(E63=I63,E63,IF(G63=I63,G63,"판단보류")))</f>
        <v>긍정</v>
      </c>
      <c r="L63" s="3" t="str">
        <f aca="false">IF(OR(J63="판단보류",K63="판단보류"),"예 - 검토필요","")</f>
        <v/>
      </c>
    </row>
    <row r="64" customFormat="false" ht="15" hidden="false" customHeight="false" outlineLevel="0" collapsed="false">
      <c r="A64" s="3" t="n">
        <v>46</v>
      </c>
      <c r="B64" s="4" t="s">
        <v>92</v>
      </c>
      <c r="C64" s="4" t="s">
        <v>94</v>
      </c>
      <c r="D64" s="4" t="s">
        <v>13</v>
      </c>
      <c r="E64" s="4" t="s">
        <v>17</v>
      </c>
      <c r="F64" s="4" t="s">
        <v>13</v>
      </c>
      <c r="G64" s="4" t="s">
        <v>17</v>
      </c>
      <c r="H64" s="4" t="s">
        <v>79</v>
      </c>
      <c r="I64" s="4" t="s">
        <v>17</v>
      </c>
      <c r="J64" s="3" t="str">
        <f aca="false">IF(D64=F64,D64,IF(D64=H64,D64,IF(F64=H64,F64,"판단보류")))</f>
        <v>시설</v>
      </c>
      <c r="K64" s="3" t="str">
        <f aca="false">IF(E64=G64,E64,IF(E64=I64,E64,IF(G64=I64,G64,"판단보류")))</f>
        <v>긍정</v>
      </c>
      <c r="L64" s="3" t="str">
        <f aca="false">IF(OR(J64="판단보류",K64="판단보류"),"예 - 검토필요","")</f>
        <v/>
      </c>
    </row>
    <row r="65" customFormat="false" ht="15" hidden="false" customHeight="false" outlineLevel="0" collapsed="false">
      <c r="A65" s="3" t="n">
        <v>47</v>
      </c>
      <c r="B65" s="4" t="s">
        <v>95</v>
      </c>
      <c r="C65" s="4" t="s">
        <v>95</v>
      </c>
      <c r="D65" s="4" t="s">
        <v>13</v>
      </c>
      <c r="E65" s="4" t="s">
        <v>17</v>
      </c>
      <c r="F65" s="4" t="s">
        <v>13</v>
      </c>
      <c r="G65" s="4" t="s">
        <v>17</v>
      </c>
      <c r="H65" s="4" t="s">
        <v>13</v>
      </c>
      <c r="I65" s="4" t="s">
        <v>17</v>
      </c>
      <c r="J65" s="3" t="str">
        <f aca="false">IF(D65=F65,D65,IF(D65=H65,D65,IF(F65=H65,F65,"판단보류")))</f>
        <v>시설</v>
      </c>
      <c r="K65" s="3" t="str">
        <f aca="false">IF(E65=G65,E65,IF(E65=I65,E65,IF(G65=I65,G65,"판단보류")))</f>
        <v>긍정</v>
      </c>
      <c r="L65" s="3" t="str">
        <f aca="false">IF(OR(J65="판단보류",K65="판단보류"),"예 - 검토필요","")</f>
        <v/>
      </c>
    </row>
    <row r="66" customFormat="false" ht="15" hidden="false" customHeight="false" outlineLevel="0" collapsed="false">
      <c r="A66" s="3" t="n">
        <v>48</v>
      </c>
      <c r="B66" s="4" t="s">
        <v>96</v>
      </c>
      <c r="C66" s="4" t="s">
        <v>96</v>
      </c>
      <c r="D66" s="4" t="s">
        <v>19</v>
      </c>
      <c r="E66" s="4" t="s">
        <v>17</v>
      </c>
      <c r="F66" s="4" t="s">
        <v>19</v>
      </c>
      <c r="G66" s="4" t="s">
        <v>17</v>
      </c>
      <c r="H66" s="4" t="s">
        <v>19</v>
      </c>
      <c r="I66" s="4" t="s">
        <v>17</v>
      </c>
      <c r="J66" s="3" t="str">
        <f aca="false">IF(D66=F66,D66,IF(D66=H66,D66,IF(F66=H66,F66,"판단보류")))</f>
        <v>몰입환경</v>
      </c>
      <c r="K66" s="3" t="str">
        <f aca="false">IF(E66=G66,E66,IF(E66=I66,E66,IF(G66=I66,G66,"판단보류")))</f>
        <v>긍정</v>
      </c>
      <c r="L66" s="3" t="str">
        <f aca="false">IF(OR(J66="판단보류",K66="판단보류"),"예 - 검토필요","")</f>
        <v/>
      </c>
    </row>
    <row r="67" customFormat="false" ht="15" hidden="false" customHeight="false" outlineLevel="0" collapsed="false">
      <c r="A67" s="3" t="n">
        <v>49</v>
      </c>
      <c r="B67" s="4" t="s">
        <v>97</v>
      </c>
      <c r="C67" s="4" t="s">
        <v>97</v>
      </c>
      <c r="D67" s="4" t="s">
        <v>13</v>
      </c>
      <c r="E67" s="4" t="s">
        <v>17</v>
      </c>
      <c r="F67" s="4" t="s">
        <v>13</v>
      </c>
      <c r="G67" s="4" t="s">
        <v>17</v>
      </c>
      <c r="H67" s="4" t="s">
        <v>13</v>
      </c>
      <c r="I67" s="4" t="s">
        <v>17</v>
      </c>
      <c r="J67" s="3" t="str">
        <f aca="false">IF(D67=F67,D67,IF(D67=H67,D67,IF(F67=H67,F67,"판단보류")))</f>
        <v>시설</v>
      </c>
      <c r="K67" s="3" t="str">
        <f aca="false">IF(E67=G67,E67,IF(E67=I67,E67,IF(G67=I67,G67,"판단보류")))</f>
        <v>긍정</v>
      </c>
      <c r="L67" s="3" t="str">
        <f aca="false">IF(OR(J67="판단보류",K67="판단보류"),"예 - 검토필요","")</f>
        <v/>
      </c>
    </row>
    <row r="68" customFormat="false" ht="15" hidden="false" customHeight="false" outlineLevel="0" collapsed="false">
      <c r="A68" s="3" t="n">
        <v>50</v>
      </c>
      <c r="B68" s="4" t="s">
        <v>98</v>
      </c>
      <c r="C68" s="4" t="s">
        <v>98</v>
      </c>
      <c r="D68" s="4" t="s">
        <v>21</v>
      </c>
      <c r="E68" s="4" t="s">
        <v>17</v>
      </c>
      <c r="F68" s="4" t="s">
        <v>21</v>
      </c>
      <c r="G68" s="4" t="s">
        <v>17</v>
      </c>
      <c r="H68" s="4" t="s">
        <v>21</v>
      </c>
      <c r="I68" s="4" t="s">
        <v>17</v>
      </c>
      <c r="J68" s="3" t="str">
        <f aca="false">IF(D68=F68,D68,IF(D68=H68,D68,IF(F68=H68,F68,"판단보류")))</f>
        <v>소음</v>
      </c>
      <c r="K68" s="3" t="str">
        <f aca="false">IF(E68=G68,E68,IF(E68=I68,E68,IF(G68=I68,G68,"판단보류")))</f>
        <v>긍정</v>
      </c>
      <c r="L68" s="3" t="str">
        <f aca="false">IF(OR(J68="판단보류",K68="판단보류"),"예 - 검토필요","")</f>
        <v/>
      </c>
    </row>
    <row r="69" customFormat="false" ht="15" hidden="false" customHeight="false" outlineLevel="0" collapsed="false">
      <c r="A69" s="3" t="n">
        <v>51</v>
      </c>
      <c r="B69" s="4" t="s">
        <v>99</v>
      </c>
      <c r="C69" s="4" t="s">
        <v>100</v>
      </c>
      <c r="D69" s="4" t="s">
        <v>13</v>
      </c>
      <c r="E69" s="4" t="s">
        <v>17</v>
      </c>
      <c r="F69" s="4" t="s">
        <v>13</v>
      </c>
      <c r="G69" s="4" t="s">
        <v>17</v>
      </c>
      <c r="H69" s="4" t="s">
        <v>13</v>
      </c>
      <c r="I69" s="4" t="s">
        <v>17</v>
      </c>
      <c r="J69" s="3" t="str">
        <f aca="false">IF(D69=F69,D69,IF(D69=H69,D69,IF(F69=H69,F69,"판단보류")))</f>
        <v>시설</v>
      </c>
      <c r="K69" s="3" t="str">
        <f aca="false">IF(E69=G69,E69,IF(E69=I69,E69,IF(G69=I69,G69,"판단보류")))</f>
        <v>긍정</v>
      </c>
      <c r="L69" s="3" t="str">
        <f aca="false">IF(OR(J69="판단보류",K69="판단보류"),"예 - 검토필요","")</f>
        <v/>
      </c>
    </row>
    <row r="70" customFormat="false" ht="15" hidden="false" customHeight="false" outlineLevel="0" collapsed="false">
      <c r="A70" s="3" t="n">
        <v>51</v>
      </c>
      <c r="B70" s="4" t="s">
        <v>99</v>
      </c>
      <c r="C70" s="4" t="s">
        <v>101</v>
      </c>
      <c r="D70" s="4" t="s">
        <v>19</v>
      </c>
      <c r="E70" s="4" t="s">
        <v>17</v>
      </c>
      <c r="F70" s="4" t="s">
        <v>19</v>
      </c>
      <c r="G70" s="4" t="s">
        <v>17</v>
      </c>
      <c r="H70" s="4" t="s">
        <v>19</v>
      </c>
      <c r="I70" s="4" t="s">
        <v>17</v>
      </c>
      <c r="J70" s="3" t="str">
        <f aca="false">IF(D70=F70,D70,IF(D70=H70,D70,IF(F70=H70,F70,"판단보류")))</f>
        <v>몰입환경</v>
      </c>
      <c r="K70" s="3" t="str">
        <f aca="false">IF(E70=G70,E70,IF(E70=I70,E70,IF(G70=I70,G70,"판단보류")))</f>
        <v>긍정</v>
      </c>
      <c r="L70" s="3" t="str">
        <f aca="false">IF(OR(J70="판단보류",K70="판단보류"),"예 - 검토필요","")</f>
        <v/>
      </c>
    </row>
    <row r="71" customFormat="false" ht="15" hidden="false" customHeight="false" outlineLevel="0" collapsed="false">
      <c r="A71" s="3" t="n">
        <v>52</v>
      </c>
      <c r="B71" s="4" t="s">
        <v>102</v>
      </c>
      <c r="C71" s="4" t="s">
        <v>102</v>
      </c>
      <c r="D71" s="4" t="s">
        <v>21</v>
      </c>
      <c r="E71" s="4" t="s">
        <v>17</v>
      </c>
      <c r="F71" s="4" t="s">
        <v>21</v>
      </c>
      <c r="G71" s="4" t="s">
        <v>17</v>
      </c>
      <c r="H71" s="4" t="s">
        <v>21</v>
      </c>
      <c r="I71" s="4" t="s">
        <v>17</v>
      </c>
      <c r="J71" s="3" t="str">
        <f aca="false">IF(D71=F71,D71,IF(D71=H71,D71,IF(F71=H71,F71,"판단보류")))</f>
        <v>소음</v>
      </c>
      <c r="K71" s="3" t="str">
        <f aca="false">IF(E71=G71,E71,IF(E71=I71,E71,IF(G71=I71,G71,"판단보류")))</f>
        <v>긍정</v>
      </c>
      <c r="L71" s="3" t="str">
        <f aca="false">IF(OR(J71="판단보류",K71="판단보류"),"예 - 검토필요","")</f>
        <v/>
      </c>
    </row>
    <row r="72" customFormat="false" ht="15" hidden="false" customHeight="false" outlineLevel="0" collapsed="false">
      <c r="A72" s="3" t="n">
        <v>53</v>
      </c>
      <c r="B72" s="4" t="s">
        <v>103</v>
      </c>
      <c r="C72" s="4" t="s">
        <v>103</v>
      </c>
      <c r="D72" s="4" t="s">
        <v>13</v>
      </c>
      <c r="E72" s="4" t="s">
        <v>17</v>
      </c>
      <c r="F72" s="4" t="s">
        <v>13</v>
      </c>
      <c r="G72" s="4" t="s">
        <v>17</v>
      </c>
      <c r="H72" s="4" t="s">
        <v>13</v>
      </c>
      <c r="I72" s="4" t="s">
        <v>17</v>
      </c>
      <c r="J72" s="3" t="str">
        <f aca="false">IF(D72=F72,D72,IF(D72=H72,D72,IF(F72=H72,F72,"판단보류")))</f>
        <v>시설</v>
      </c>
      <c r="K72" s="3" t="str">
        <f aca="false">IF(E72=G72,E72,IF(E72=I72,E72,IF(G72=I72,G72,"판단보류")))</f>
        <v>긍정</v>
      </c>
      <c r="L72" s="3" t="str">
        <f aca="false">IF(OR(J72="판단보류",K72="판단보류"),"예 - 검토필요","")</f>
        <v/>
      </c>
    </row>
    <row r="73" customFormat="false" ht="15" hidden="false" customHeight="false" outlineLevel="0" collapsed="false">
      <c r="A73" s="3" t="n">
        <v>54</v>
      </c>
      <c r="B73" s="4" t="s">
        <v>104</v>
      </c>
      <c r="C73" s="4" t="s">
        <v>104</v>
      </c>
      <c r="D73" s="4" t="s">
        <v>19</v>
      </c>
      <c r="E73" s="4" t="s">
        <v>17</v>
      </c>
      <c r="F73" s="4" t="s">
        <v>21</v>
      </c>
      <c r="G73" s="4" t="s">
        <v>17</v>
      </c>
      <c r="H73" s="4" t="s">
        <v>21</v>
      </c>
      <c r="I73" s="4" t="s">
        <v>17</v>
      </c>
      <c r="J73" s="3" t="str">
        <f aca="false">IF(D73=F73,D73,IF(D73=H73,D73,IF(F73=H73,F73,"판단보류")))</f>
        <v>소음</v>
      </c>
      <c r="K73" s="3" t="str">
        <f aca="false">IF(E73=G73,E73,IF(E73=I73,E73,IF(G73=I73,G73,"판단보류")))</f>
        <v>긍정</v>
      </c>
      <c r="L73" s="3" t="str">
        <f aca="false">IF(OR(J73="판단보류",K73="판단보류"),"예 - 검토필요","")</f>
        <v/>
      </c>
    </row>
    <row r="74" customFormat="false" ht="15" hidden="false" customHeight="false" outlineLevel="0" collapsed="false">
      <c r="A74" s="3" t="n">
        <v>55</v>
      </c>
      <c r="B74" s="4" t="s">
        <v>105</v>
      </c>
      <c r="C74" s="4" t="s">
        <v>105</v>
      </c>
      <c r="D74" s="4" t="s">
        <v>13</v>
      </c>
      <c r="E74" s="4" t="s">
        <v>17</v>
      </c>
      <c r="F74" s="4" t="s">
        <v>13</v>
      </c>
      <c r="G74" s="4" t="s">
        <v>17</v>
      </c>
      <c r="H74" s="4" t="s">
        <v>13</v>
      </c>
      <c r="I74" s="4" t="s">
        <v>17</v>
      </c>
      <c r="J74" s="3" t="str">
        <f aca="false">IF(D74=F74,D74,IF(D74=H74,D74,IF(F74=H74,F74,"판단보류")))</f>
        <v>시설</v>
      </c>
      <c r="K74" s="3" t="str">
        <f aca="false">IF(E74=G74,E74,IF(E74=I74,E74,IF(G74=I74,G74,"판단보류")))</f>
        <v>긍정</v>
      </c>
      <c r="L74" s="3" t="str">
        <f aca="false">IF(OR(J74="판단보류",K74="판단보류"),"예 - 검토필요","")</f>
        <v/>
      </c>
    </row>
    <row r="75" customFormat="false" ht="15" hidden="false" customHeight="false" outlineLevel="0" collapsed="false">
      <c r="A75" s="3" t="n">
        <v>56</v>
      </c>
      <c r="B75" s="4" t="s">
        <v>106</v>
      </c>
      <c r="C75" s="4" t="s">
        <v>107</v>
      </c>
      <c r="D75" s="4" t="s">
        <v>13</v>
      </c>
      <c r="E75" s="4" t="s">
        <v>17</v>
      </c>
      <c r="F75" s="4" t="s">
        <v>13</v>
      </c>
      <c r="G75" s="4" t="s">
        <v>17</v>
      </c>
      <c r="H75" s="4" t="s">
        <v>13</v>
      </c>
      <c r="I75" s="4" t="s">
        <v>17</v>
      </c>
      <c r="J75" s="3" t="str">
        <f aca="false">IF(D75=F75,D75,IF(D75=H75,D75,IF(F75=H75,F75,"판단보류")))</f>
        <v>시설</v>
      </c>
      <c r="K75" s="3" t="str">
        <f aca="false">IF(E75=G75,E75,IF(E75=I75,E75,IF(G75=I75,G75,"판단보류")))</f>
        <v>긍정</v>
      </c>
      <c r="L75" s="3" t="str">
        <f aca="false">IF(OR(J75="판단보류",K75="판단보류"),"예 - 검토필요","")</f>
        <v/>
      </c>
    </row>
    <row r="76" customFormat="false" ht="15" hidden="false" customHeight="false" outlineLevel="0" collapsed="false">
      <c r="A76" s="3" t="n">
        <v>56</v>
      </c>
      <c r="B76" s="4" t="s">
        <v>106</v>
      </c>
      <c r="C76" s="4" t="s">
        <v>108</v>
      </c>
      <c r="D76" s="4" t="s">
        <v>13</v>
      </c>
      <c r="E76" s="4" t="s">
        <v>17</v>
      </c>
      <c r="F76" s="4" t="s">
        <v>13</v>
      </c>
      <c r="G76" s="4" t="s">
        <v>17</v>
      </c>
      <c r="H76" s="4" t="s">
        <v>13</v>
      </c>
      <c r="I76" s="4" t="s">
        <v>17</v>
      </c>
      <c r="J76" s="3" t="str">
        <f aca="false">IF(D76=F76,D76,IF(D76=H76,D76,IF(F76=H76,F76,"판단보류")))</f>
        <v>시설</v>
      </c>
      <c r="K76" s="3" t="str">
        <f aca="false">IF(E76=G76,E76,IF(E76=I76,E76,IF(G76=I76,G76,"판단보류")))</f>
        <v>긍정</v>
      </c>
      <c r="L76" s="3" t="str">
        <f aca="false">IF(OR(J76="판단보류",K76="판단보류"),"예 - 검토필요","")</f>
        <v/>
      </c>
    </row>
    <row r="77" customFormat="false" ht="15" hidden="false" customHeight="false" outlineLevel="0" collapsed="false">
      <c r="A77" s="3" t="n">
        <v>56</v>
      </c>
      <c r="B77" s="4" t="s">
        <v>106</v>
      </c>
      <c r="C77" s="4" t="s">
        <v>82</v>
      </c>
      <c r="D77" s="4" t="s">
        <v>19</v>
      </c>
      <c r="E77" s="4" t="s">
        <v>17</v>
      </c>
      <c r="F77" s="4" t="s">
        <v>19</v>
      </c>
      <c r="G77" s="4" t="s">
        <v>17</v>
      </c>
      <c r="H77" s="4" t="s">
        <v>13</v>
      </c>
      <c r="I77" s="4" t="s">
        <v>17</v>
      </c>
      <c r="J77" s="3" t="str">
        <f aca="false">IF(D77=F77,D77,IF(D77=H77,D77,IF(F77=H77,F77,"판단보류")))</f>
        <v>몰입환경</v>
      </c>
      <c r="K77" s="3" t="str">
        <f aca="false">IF(E77=G77,E77,IF(E77=I77,E77,IF(G77=I77,G77,"판단보류")))</f>
        <v>긍정</v>
      </c>
      <c r="L77" s="3" t="str">
        <f aca="false">IF(OR(J77="판단보류",K77="판단보류"),"예 - 검토필요","")</f>
        <v/>
      </c>
    </row>
    <row r="78" customFormat="false" ht="15" hidden="false" customHeight="false" outlineLevel="0" collapsed="false">
      <c r="A78" s="3" t="n">
        <v>57</v>
      </c>
      <c r="B78" s="4" t="s">
        <v>109</v>
      </c>
      <c r="C78" s="4" t="s">
        <v>109</v>
      </c>
      <c r="D78" s="4" t="s">
        <v>13</v>
      </c>
      <c r="E78" s="4" t="s">
        <v>17</v>
      </c>
      <c r="F78" s="4" t="s">
        <v>13</v>
      </c>
      <c r="G78" s="4" t="s">
        <v>17</v>
      </c>
      <c r="H78" s="4" t="s">
        <v>13</v>
      </c>
      <c r="I78" s="4" t="s">
        <v>17</v>
      </c>
      <c r="J78" s="3" t="str">
        <f aca="false">IF(D78=F78,D78,IF(D78=H78,D78,IF(F78=H78,F78,"판단보류")))</f>
        <v>시설</v>
      </c>
      <c r="K78" s="3" t="str">
        <f aca="false">IF(E78=G78,E78,IF(E78=I78,E78,IF(G78=I78,G78,"판단보류")))</f>
        <v>긍정</v>
      </c>
      <c r="L78" s="3" t="str">
        <f aca="false">IF(OR(J78="판단보류",K78="판단보류"),"예 - 검토필요","")</f>
        <v/>
      </c>
    </row>
    <row r="79" customFormat="false" ht="15" hidden="false" customHeight="false" outlineLevel="0" collapsed="false">
      <c r="A79" s="3" t="n">
        <v>58</v>
      </c>
      <c r="B79" s="4" t="s">
        <v>110</v>
      </c>
      <c r="C79" s="4" t="s">
        <v>110</v>
      </c>
      <c r="D79" s="4" t="s">
        <v>21</v>
      </c>
      <c r="E79" s="4" t="s">
        <v>17</v>
      </c>
      <c r="F79" s="4" t="s">
        <v>21</v>
      </c>
      <c r="G79" s="4" t="s">
        <v>17</v>
      </c>
      <c r="H79" s="4" t="s">
        <v>21</v>
      </c>
      <c r="I79" s="4" t="s">
        <v>17</v>
      </c>
      <c r="J79" s="3" t="str">
        <f aca="false">IF(D79=F79,D79,IF(D79=H79,D79,IF(F79=H79,F79,"판단보류")))</f>
        <v>소음</v>
      </c>
      <c r="K79" s="3" t="str">
        <f aca="false">IF(E79=G79,E79,IF(E79=I79,E79,IF(G79=I79,G79,"판단보류")))</f>
        <v>긍정</v>
      </c>
      <c r="L79" s="3" t="str">
        <f aca="false">IF(OR(J79="판단보류",K79="판단보류"),"예 - 검토필요","")</f>
        <v/>
      </c>
    </row>
    <row r="80" customFormat="false" ht="15" hidden="false" customHeight="false" outlineLevel="0" collapsed="false">
      <c r="A80" s="3" t="n">
        <v>59</v>
      </c>
      <c r="B80" s="4" t="s">
        <v>111</v>
      </c>
      <c r="C80" s="4" t="s">
        <v>111</v>
      </c>
      <c r="D80" s="4" t="s">
        <v>13</v>
      </c>
      <c r="E80" s="4" t="s">
        <v>17</v>
      </c>
      <c r="F80" s="4" t="s">
        <v>13</v>
      </c>
      <c r="G80" s="4" t="s">
        <v>17</v>
      </c>
      <c r="H80" s="4" t="s">
        <v>13</v>
      </c>
      <c r="I80" s="4" t="s">
        <v>17</v>
      </c>
      <c r="J80" s="3" t="str">
        <f aca="false">IF(D80=F80,D80,IF(D80=H80,D80,IF(F80=H80,F80,"판단보류")))</f>
        <v>시설</v>
      </c>
      <c r="K80" s="3" t="str">
        <f aca="false">IF(E80=G80,E80,IF(E80=I80,E80,IF(G80=I80,G80,"판단보류")))</f>
        <v>긍정</v>
      </c>
      <c r="L80" s="3" t="str">
        <f aca="false">IF(OR(J80="판단보류",K80="판단보류"),"예 - 검토필요","")</f>
        <v/>
      </c>
    </row>
    <row r="81" customFormat="false" ht="15" hidden="false" customHeight="false" outlineLevel="0" collapsed="false">
      <c r="A81" s="3" t="n">
        <v>60</v>
      </c>
      <c r="B81" s="4" t="s">
        <v>112</v>
      </c>
      <c r="C81" s="4" t="s">
        <v>112</v>
      </c>
      <c r="D81" s="4" t="s">
        <v>21</v>
      </c>
      <c r="E81" s="4" t="s">
        <v>14</v>
      </c>
      <c r="F81" s="4" t="s">
        <v>21</v>
      </c>
      <c r="G81" s="4" t="s">
        <v>14</v>
      </c>
      <c r="H81" s="4" t="s">
        <v>21</v>
      </c>
      <c r="I81" s="4" t="s">
        <v>14</v>
      </c>
      <c r="J81" s="3" t="str">
        <f aca="false">IF(D81=F81,D81,IF(D81=H81,D81,IF(F81=H81,F81,"판단보류")))</f>
        <v>소음</v>
      </c>
      <c r="K81" s="3" t="str">
        <f aca="false">IF(E81=G81,E81,IF(E81=I81,E81,IF(G81=I81,G81,"판단보류")))</f>
        <v>부정</v>
      </c>
      <c r="L81" s="3" t="str">
        <f aca="false">IF(OR(J81="판단보류",K81="판단보류"),"예 - 검토필요","")</f>
        <v/>
      </c>
    </row>
    <row r="82" customFormat="false" ht="15" hidden="false" customHeight="false" outlineLevel="0" collapsed="false">
      <c r="A82" s="3" t="n">
        <v>61</v>
      </c>
      <c r="B82" s="4" t="s">
        <v>113</v>
      </c>
      <c r="C82" s="4" t="s">
        <v>113</v>
      </c>
      <c r="D82" s="4" t="s">
        <v>21</v>
      </c>
      <c r="E82" s="4" t="s">
        <v>14</v>
      </c>
      <c r="F82" s="4" t="s">
        <v>21</v>
      </c>
      <c r="G82" s="4" t="s">
        <v>14</v>
      </c>
      <c r="H82" s="4" t="s">
        <v>21</v>
      </c>
      <c r="I82" s="4" t="s">
        <v>14</v>
      </c>
      <c r="J82" s="3" t="str">
        <f aca="false">IF(D82=F82,D82,IF(D82=H82,D82,IF(F82=H82,F82,"판단보류")))</f>
        <v>소음</v>
      </c>
      <c r="K82" s="3" t="str">
        <f aca="false">IF(E82=G82,E82,IF(E82=I82,E82,IF(G82=I82,G82,"판단보류")))</f>
        <v>부정</v>
      </c>
      <c r="L82" s="3" t="str">
        <f aca="false">IF(OR(J82="판단보류",K82="판단보류"),"예 - 검토필요","")</f>
        <v/>
      </c>
    </row>
    <row r="83" customFormat="false" ht="15" hidden="false" customHeight="false" outlineLevel="0" collapsed="false">
      <c r="A83" s="3" t="n">
        <v>62</v>
      </c>
      <c r="B83" s="4" t="s">
        <v>114</v>
      </c>
      <c r="C83" s="4" t="s">
        <v>114</v>
      </c>
      <c r="D83" s="4" t="s">
        <v>13</v>
      </c>
      <c r="E83" s="4" t="s">
        <v>17</v>
      </c>
      <c r="F83" s="4" t="s">
        <v>13</v>
      </c>
      <c r="G83" s="4" t="s">
        <v>17</v>
      </c>
      <c r="H83" s="4" t="s">
        <v>13</v>
      </c>
      <c r="I83" s="4" t="s">
        <v>17</v>
      </c>
      <c r="J83" s="3" t="str">
        <f aca="false">IF(D83=F83,D83,IF(D83=H83,D83,IF(F83=H83,F83,"판단보류")))</f>
        <v>시설</v>
      </c>
      <c r="K83" s="3" t="str">
        <f aca="false">IF(E83=G83,E83,IF(E83=I83,E83,IF(G83=I83,G83,"판단보류")))</f>
        <v>긍정</v>
      </c>
      <c r="L83" s="3" t="str">
        <f aca="false">IF(OR(J83="판단보류",K83="판단보류"),"예 - 검토필요","")</f>
        <v/>
      </c>
    </row>
    <row r="84" customFormat="false" ht="17.15" hidden="false" customHeight="false" outlineLevel="0" collapsed="false">
      <c r="A84" s="3" t="n">
        <v>63</v>
      </c>
      <c r="B84" s="3" t="s">
        <v>115</v>
      </c>
      <c r="C84" s="3" t="s">
        <v>115</v>
      </c>
      <c r="D84" s="4" t="s">
        <v>21</v>
      </c>
      <c r="E84" s="4" t="s">
        <v>17</v>
      </c>
      <c r="F84" s="4" t="s">
        <v>21</v>
      </c>
      <c r="G84" s="4" t="s">
        <v>17</v>
      </c>
      <c r="H84" s="4" t="s">
        <v>21</v>
      </c>
      <c r="I84" s="4" t="s">
        <v>17</v>
      </c>
      <c r="J84" s="3" t="str">
        <f aca="false">IF(D84=F84,D84,IF(D84=H84,D84,IF(F84=H84,F84,"판단보류")))</f>
        <v>소음</v>
      </c>
      <c r="K84" s="3" t="str">
        <f aca="false">IF(E84=G84,E84,IF(E84=I84,E84,IF(G84=I84,G84,"판단보류")))</f>
        <v>긍정</v>
      </c>
      <c r="L84" s="3" t="str">
        <f aca="false">IF(OR(J84="판단보류",K84="판단보류"),"예 - 검토필요","")</f>
        <v/>
      </c>
    </row>
    <row r="85" customFormat="false" ht="17.15" hidden="false" customHeight="false" outlineLevel="0" collapsed="false">
      <c r="A85" s="3" t="n">
        <v>64</v>
      </c>
      <c r="B85" s="3" t="s">
        <v>116</v>
      </c>
      <c r="C85" s="3" t="s">
        <v>116</v>
      </c>
      <c r="D85" s="4" t="s">
        <v>79</v>
      </c>
      <c r="E85" s="4" t="s">
        <v>14</v>
      </c>
      <c r="F85" s="4" t="s">
        <v>79</v>
      </c>
      <c r="G85" s="4" t="s">
        <v>14</v>
      </c>
      <c r="H85" s="4" t="s">
        <v>79</v>
      </c>
      <c r="I85" s="4" t="s">
        <v>14</v>
      </c>
      <c r="J85" s="3" t="str">
        <f aca="false">IF(D85=F85,D85,IF(D85=H85,D85,IF(F85=H85,F85,"판단보류")))</f>
        <v>혼잡도</v>
      </c>
      <c r="K85" s="3" t="str">
        <f aca="false">IF(E85=G85,E85,IF(E85=I85,E85,IF(G85=I85,G85,"판단보류")))</f>
        <v>부정</v>
      </c>
      <c r="L85" s="3" t="str">
        <f aca="false">IF(OR(J85="판단보류",K85="판단보류"),"예 - 검토필요","")</f>
        <v/>
      </c>
    </row>
    <row r="86" customFormat="false" ht="17.15" hidden="false" customHeight="false" outlineLevel="0" collapsed="false">
      <c r="A86" s="3" t="n">
        <v>65</v>
      </c>
      <c r="B86" s="3" t="s">
        <v>117</v>
      </c>
      <c r="C86" s="3" t="s">
        <v>118</v>
      </c>
      <c r="D86" s="4" t="s">
        <v>79</v>
      </c>
      <c r="E86" s="4" t="s">
        <v>14</v>
      </c>
      <c r="F86" s="4" t="s">
        <v>79</v>
      </c>
      <c r="G86" s="4" t="s">
        <v>14</v>
      </c>
      <c r="H86" s="4" t="s">
        <v>79</v>
      </c>
      <c r="I86" s="4" t="s">
        <v>14</v>
      </c>
      <c r="J86" s="3" t="str">
        <f aca="false">IF(D86=F86,D86,IF(D86=H86,D86,IF(F86=H86,F86,"판단보류")))</f>
        <v>혼잡도</v>
      </c>
      <c r="K86" s="3" t="str">
        <f aca="false">IF(E86=G86,E86,IF(E86=I86,E86,IF(G86=I86,G86,"판단보류")))</f>
        <v>부정</v>
      </c>
      <c r="L86" s="3" t="str">
        <f aca="false">IF(OR(J86="판단보류",K86="판단보류"),"예 - 검토필요","")</f>
        <v/>
      </c>
    </row>
    <row r="87" customFormat="false" ht="17.15" hidden="false" customHeight="false" outlineLevel="0" collapsed="false">
      <c r="A87" s="3" t="n">
        <v>65</v>
      </c>
      <c r="B87" s="3" t="s">
        <v>117</v>
      </c>
      <c r="C87" s="4" t="s">
        <v>119</v>
      </c>
      <c r="D87" s="4" t="s">
        <v>21</v>
      </c>
      <c r="E87" s="4" t="s">
        <v>14</v>
      </c>
      <c r="F87" s="4" t="s">
        <v>21</v>
      </c>
      <c r="G87" s="4" t="s">
        <v>14</v>
      </c>
      <c r="H87" s="4" t="s">
        <v>21</v>
      </c>
      <c r="I87" s="4" t="s">
        <v>14</v>
      </c>
      <c r="J87" s="3" t="str">
        <f aca="false">IF(D87=F87,D87,IF(D87=H87,D87,IF(F87=H87,F87,"판단보류")))</f>
        <v>소음</v>
      </c>
      <c r="K87" s="3" t="str">
        <f aca="false">IF(E87=G87,E87,IF(E87=I87,E87,IF(G87=I87,G87,"판단보류")))</f>
        <v>부정</v>
      </c>
      <c r="L87" s="3" t="str">
        <f aca="false">IF(OR(J87="판단보류",K87="판단보류"),"예 - 검토필요","")</f>
        <v/>
      </c>
    </row>
    <row r="88" customFormat="false" ht="15" hidden="false" customHeight="false" outlineLevel="0" collapsed="false">
      <c r="A88" s="3" t="n">
        <v>66</v>
      </c>
      <c r="B88" s="4" t="s">
        <v>120</v>
      </c>
      <c r="C88" s="4" t="s">
        <v>120</v>
      </c>
      <c r="D88" s="4" t="s">
        <v>13</v>
      </c>
      <c r="E88" s="4" t="s">
        <v>14</v>
      </c>
      <c r="F88" s="4" t="s">
        <v>13</v>
      </c>
      <c r="G88" s="4" t="s">
        <v>14</v>
      </c>
      <c r="H88" s="4" t="s">
        <v>13</v>
      </c>
      <c r="I88" s="4" t="s">
        <v>14</v>
      </c>
      <c r="J88" s="3" t="str">
        <f aca="false">IF(D88=F88,D88,IF(D88=H88,D88,IF(F88=H88,F88,"판단보류")))</f>
        <v>시설</v>
      </c>
      <c r="K88" s="3" t="str">
        <f aca="false">IF(E88=G88,E88,IF(E88=I88,E88,IF(G88=I88,G88,"판단보류")))</f>
        <v>부정</v>
      </c>
      <c r="L88" s="3" t="str">
        <f aca="false">IF(OR(J88="판단보류",K88="판단보류"),"예 - 검토필요","")</f>
        <v/>
      </c>
    </row>
    <row r="89" customFormat="false" ht="15" hidden="false" customHeight="false" outlineLevel="0" collapsed="false">
      <c r="A89" s="3" t="n">
        <v>67</v>
      </c>
      <c r="B89" s="4" t="s">
        <v>121</v>
      </c>
      <c r="C89" s="4" t="s">
        <v>122</v>
      </c>
      <c r="D89" s="4" t="s">
        <v>21</v>
      </c>
      <c r="E89" s="4" t="s">
        <v>14</v>
      </c>
      <c r="F89" s="4" t="s">
        <v>21</v>
      </c>
      <c r="G89" s="4" t="s">
        <v>14</v>
      </c>
      <c r="H89" s="4" t="s">
        <v>21</v>
      </c>
      <c r="I89" s="4" t="s">
        <v>14</v>
      </c>
      <c r="J89" s="3" t="str">
        <f aca="false">IF(D89=F89,D89,IF(D89=H89,D89,IF(F89=H89,F89,"판단보류")))</f>
        <v>소음</v>
      </c>
      <c r="K89" s="3" t="str">
        <f aca="false">IF(E89=G89,E89,IF(E89=I89,E89,IF(G89=I89,G89,"판단보류")))</f>
        <v>부정</v>
      </c>
      <c r="L89" s="3" t="str">
        <f aca="false">IF(OR(J89="판단보류",K89="판단보류"),"예 - 검토필요","")</f>
        <v/>
      </c>
    </row>
    <row r="90" customFormat="false" ht="15" hidden="false" customHeight="false" outlineLevel="0" collapsed="false">
      <c r="A90" s="3" t="n">
        <v>67</v>
      </c>
      <c r="B90" s="4" t="s">
        <v>121</v>
      </c>
      <c r="C90" s="4" t="s">
        <v>123</v>
      </c>
      <c r="D90" s="4" t="s">
        <v>13</v>
      </c>
      <c r="E90" s="4" t="s">
        <v>14</v>
      </c>
      <c r="F90" s="4" t="s">
        <v>13</v>
      </c>
      <c r="G90" s="4" t="s">
        <v>14</v>
      </c>
      <c r="H90" s="4" t="s">
        <v>13</v>
      </c>
      <c r="I90" s="4" t="s">
        <v>14</v>
      </c>
      <c r="J90" s="3" t="str">
        <f aca="false">IF(D90=F90,D90,IF(D90=H90,D90,IF(F90=H90,F90,"판단보류")))</f>
        <v>시설</v>
      </c>
      <c r="K90" s="3" t="str">
        <f aca="false">IF(E90=G90,E90,IF(E90=I90,E90,IF(G90=I90,G90,"판단보류")))</f>
        <v>부정</v>
      </c>
      <c r="L90" s="3" t="str">
        <f aca="false">IF(OR(J90="판단보류",K90="판단보류"),"예 - 검토필요","")</f>
        <v/>
      </c>
    </row>
    <row r="91" customFormat="false" ht="15" hidden="false" customHeight="false" outlineLevel="0" collapsed="false">
      <c r="A91" s="3" t="n">
        <v>68</v>
      </c>
      <c r="B91" s="4" t="s">
        <v>124</v>
      </c>
      <c r="C91" s="4" t="s">
        <v>124</v>
      </c>
      <c r="D91" s="4" t="s">
        <v>13</v>
      </c>
      <c r="E91" s="4" t="s">
        <v>14</v>
      </c>
      <c r="F91" s="4" t="s">
        <v>13</v>
      </c>
      <c r="G91" s="4" t="s">
        <v>14</v>
      </c>
      <c r="H91" s="4" t="s">
        <v>13</v>
      </c>
      <c r="I91" s="4" t="s">
        <v>14</v>
      </c>
      <c r="J91" s="3" t="str">
        <f aca="false">IF(D91=F91,D91,IF(D91=H91,D91,IF(F91=H91,F91,"판단보류")))</f>
        <v>시설</v>
      </c>
      <c r="K91" s="3" t="str">
        <f aca="false">IF(E91=G91,E91,IF(E91=I91,E91,IF(G91=I91,G91,"판단보류")))</f>
        <v>부정</v>
      </c>
      <c r="L91" s="3" t="str">
        <f aca="false">IF(OR(J91="판단보류",K91="판단보류"),"예 - 검토필요","")</f>
        <v/>
      </c>
    </row>
    <row r="92" customFormat="false" ht="17.15" hidden="false" customHeight="false" outlineLevel="0" collapsed="false">
      <c r="A92" s="3" t="n">
        <v>69</v>
      </c>
      <c r="B92" s="4" t="s">
        <v>125</v>
      </c>
      <c r="C92" s="4" t="s">
        <v>125</v>
      </c>
      <c r="D92" s="4" t="s">
        <v>19</v>
      </c>
      <c r="E92" s="4" t="s">
        <v>14</v>
      </c>
      <c r="F92" s="4" t="s">
        <v>19</v>
      </c>
      <c r="G92" s="4" t="s">
        <v>14</v>
      </c>
      <c r="H92" s="4" t="s">
        <v>19</v>
      </c>
      <c r="I92" s="4" t="s">
        <v>14</v>
      </c>
      <c r="J92" s="3" t="str">
        <f aca="false">IF(D92=F92,D92,IF(D92=H92,D92,IF(F92=H92,F92,"판단보류")))</f>
        <v>몰입환경</v>
      </c>
      <c r="K92" s="3" t="str">
        <f aca="false">IF(E92=G92,E92,IF(E92=I92,E92,IF(G92=I92,G92,"판단보류")))</f>
        <v>부정</v>
      </c>
      <c r="L92" s="3" t="str">
        <f aca="false">IF(OR(J92="판단보류",K92="판단보류"),"예 - 검토필요","")</f>
        <v/>
      </c>
    </row>
    <row r="93" customFormat="false" ht="15" hidden="false" customHeight="false" outlineLevel="0" collapsed="false">
      <c r="A93" s="3" t="n">
        <v>70</v>
      </c>
      <c r="B93" s="4" t="s">
        <v>126</v>
      </c>
      <c r="C93" s="4" t="s">
        <v>126</v>
      </c>
      <c r="D93" s="4" t="s">
        <v>13</v>
      </c>
      <c r="E93" s="4" t="s">
        <v>14</v>
      </c>
      <c r="F93" s="4" t="s">
        <v>13</v>
      </c>
      <c r="G93" s="4" t="s">
        <v>14</v>
      </c>
      <c r="H93" s="4" t="s">
        <v>13</v>
      </c>
      <c r="I93" s="4" t="s">
        <v>14</v>
      </c>
      <c r="J93" s="3" t="str">
        <f aca="false">IF(D93=F93,D93,IF(D93=H93,D93,IF(F93=H93,F93,"판단보류")))</f>
        <v>시설</v>
      </c>
      <c r="K93" s="3" t="str">
        <f aca="false">IF(E93=G93,E93,IF(E93=I93,E93,IF(G93=I93,G93,"판단보류")))</f>
        <v>부정</v>
      </c>
      <c r="L93" s="3" t="str">
        <f aca="false">IF(OR(J93="판단보류",K93="판단보류"),"예 - 검토필요","")</f>
        <v/>
      </c>
    </row>
    <row r="94" customFormat="false" ht="15" hidden="false" customHeight="false" outlineLevel="0" collapsed="false">
      <c r="A94" s="3" t="n">
        <v>71</v>
      </c>
      <c r="B94" s="4" t="s">
        <v>127</v>
      </c>
      <c r="C94" s="4" t="s">
        <v>127</v>
      </c>
      <c r="D94" s="4" t="s">
        <v>13</v>
      </c>
      <c r="E94" s="4" t="s">
        <v>17</v>
      </c>
      <c r="F94" s="4" t="s">
        <v>13</v>
      </c>
      <c r="G94" s="4" t="s">
        <v>17</v>
      </c>
      <c r="H94" s="4" t="s">
        <v>13</v>
      </c>
      <c r="I94" s="4" t="s">
        <v>17</v>
      </c>
      <c r="J94" s="3" t="str">
        <f aca="false">IF(D94=F94,D94,IF(D94=H94,D94,IF(F94=H94,F94,"판단보류")))</f>
        <v>시설</v>
      </c>
      <c r="K94" s="3" t="str">
        <f aca="false">IF(E94=G94,E94,IF(E94=I94,E94,IF(G94=I94,G94,"판단보류")))</f>
        <v>긍정</v>
      </c>
      <c r="L94" s="3" t="str">
        <f aca="false">IF(OR(J94="판단보류",K94="판단보류"),"예 - 검토필요","")</f>
        <v/>
      </c>
    </row>
    <row r="95" customFormat="false" ht="15" hidden="false" customHeight="false" outlineLevel="0" collapsed="false">
      <c r="A95" s="3" t="n">
        <v>72</v>
      </c>
      <c r="B95" s="4" t="s">
        <v>128</v>
      </c>
      <c r="C95" s="4" t="s">
        <v>128</v>
      </c>
      <c r="D95" s="4" t="s">
        <v>21</v>
      </c>
      <c r="E95" s="4" t="s">
        <v>14</v>
      </c>
      <c r="F95" s="4" t="s">
        <v>21</v>
      </c>
      <c r="G95" s="4" t="s">
        <v>14</v>
      </c>
      <c r="H95" s="4" t="s">
        <v>21</v>
      </c>
      <c r="I95" s="4" t="s">
        <v>14</v>
      </c>
      <c r="J95" s="3" t="str">
        <f aca="false">IF(D95=F95,D95,IF(D95=H95,D95,IF(F95=H95,F95,"판단보류")))</f>
        <v>소음</v>
      </c>
      <c r="K95" s="3" t="str">
        <f aca="false">IF(E95=G95,E95,IF(E95=I95,E95,IF(G95=I95,G95,"판단보류")))</f>
        <v>부정</v>
      </c>
      <c r="L95" s="3" t="str">
        <f aca="false">IF(OR(J95="판단보류",K95="판단보류"),"예 - 검토필요","")</f>
        <v/>
      </c>
    </row>
    <row r="96" customFormat="false" ht="15" hidden="false" customHeight="false" outlineLevel="0" collapsed="false">
      <c r="A96" s="3" t="n">
        <v>73</v>
      </c>
      <c r="B96" s="4" t="s">
        <v>129</v>
      </c>
      <c r="C96" s="4" t="s">
        <v>129</v>
      </c>
      <c r="D96" s="4" t="s">
        <v>13</v>
      </c>
      <c r="E96" s="4" t="s">
        <v>14</v>
      </c>
      <c r="F96" s="4" t="s">
        <v>13</v>
      </c>
      <c r="G96" s="4" t="s">
        <v>14</v>
      </c>
      <c r="H96" s="4" t="s">
        <v>13</v>
      </c>
      <c r="I96" s="4" t="s">
        <v>14</v>
      </c>
      <c r="J96" s="3" t="str">
        <f aca="false">IF(D96=F96,D96,IF(D96=H96,D96,IF(F96=H96,F96,"판단보류")))</f>
        <v>시설</v>
      </c>
      <c r="K96" s="3" t="str">
        <f aca="false">IF(E96=G96,E96,IF(E96=I96,E96,IF(G96=I96,G96,"판단보류")))</f>
        <v>부정</v>
      </c>
      <c r="L96" s="3" t="str">
        <f aca="false">IF(OR(J96="판단보류",K96="판단보류"),"예 - 검토필요","")</f>
        <v/>
      </c>
    </row>
    <row r="97" customFormat="false" ht="15" hidden="false" customHeight="false" outlineLevel="0" collapsed="false">
      <c r="A97" s="3" t="n">
        <v>74</v>
      </c>
      <c r="B97" s="4" t="s">
        <v>130</v>
      </c>
      <c r="C97" s="4" t="s">
        <v>130</v>
      </c>
      <c r="D97" s="4" t="s">
        <v>13</v>
      </c>
      <c r="E97" s="4" t="s">
        <v>14</v>
      </c>
      <c r="F97" s="4" t="s">
        <v>13</v>
      </c>
      <c r="G97" s="4" t="s">
        <v>14</v>
      </c>
      <c r="H97" s="4" t="s">
        <v>13</v>
      </c>
      <c r="I97" s="4" t="s">
        <v>14</v>
      </c>
      <c r="J97" s="3" t="str">
        <f aca="false">IF(D97=F97,D97,IF(D97=H97,D97,IF(F97=H97,F97,"판단보류")))</f>
        <v>시설</v>
      </c>
      <c r="K97" s="3" t="str">
        <f aca="false">IF(E97=G97,E97,IF(E97=I97,E97,IF(G97=I97,G97,"판단보류")))</f>
        <v>부정</v>
      </c>
      <c r="L97" s="3" t="str">
        <f aca="false">IF(OR(J97="판단보류",K97="판단보류"),"예 - 검토필요","")</f>
        <v/>
      </c>
    </row>
    <row r="98" customFormat="false" ht="15" hidden="false" customHeight="false" outlineLevel="0" collapsed="false">
      <c r="A98" s="3" t="n">
        <v>75</v>
      </c>
      <c r="B98" s="4" t="s">
        <v>131</v>
      </c>
      <c r="C98" s="4" t="s">
        <v>131</v>
      </c>
      <c r="D98" s="4" t="s">
        <v>13</v>
      </c>
      <c r="E98" s="4" t="s">
        <v>14</v>
      </c>
      <c r="F98" s="4" t="s">
        <v>13</v>
      </c>
      <c r="G98" s="4" t="s">
        <v>14</v>
      </c>
      <c r="H98" s="4" t="s">
        <v>13</v>
      </c>
      <c r="I98" s="4" t="s">
        <v>14</v>
      </c>
      <c r="J98" s="3" t="str">
        <f aca="false">IF(D98=F98,D98,IF(D98=H98,D98,IF(F98=H98,F98,"판단보류")))</f>
        <v>시설</v>
      </c>
      <c r="K98" s="3" t="str">
        <f aca="false">IF(E98=G98,E98,IF(E98=I98,E98,IF(G98=I98,G98,"판단보류")))</f>
        <v>부정</v>
      </c>
      <c r="L98" s="3" t="str">
        <f aca="false">IF(OR(J98="판단보류",K98="판단보류"),"예 - 검토필요","")</f>
        <v/>
      </c>
    </row>
    <row r="99" customFormat="false" ht="15" hidden="false" customHeight="false" outlineLevel="0" collapsed="false">
      <c r="A99" s="3" t="n">
        <v>76</v>
      </c>
      <c r="B99" s="4" t="s">
        <v>132</v>
      </c>
      <c r="C99" s="4" t="s">
        <v>132</v>
      </c>
      <c r="D99" s="4" t="s">
        <v>13</v>
      </c>
      <c r="E99" s="4" t="s">
        <v>17</v>
      </c>
      <c r="F99" s="4" t="s">
        <v>13</v>
      </c>
      <c r="G99" s="4" t="s">
        <v>17</v>
      </c>
      <c r="H99" s="4" t="s">
        <v>13</v>
      </c>
      <c r="I99" s="4" t="s">
        <v>17</v>
      </c>
      <c r="J99" s="3" t="str">
        <f aca="false">IF(D99=F99,D99,IF(D99=H99,D99,IF(F99=H99,F99,"판단보류")))</f>
        <v>시설</v>
      </c>
      <c r="K99" s="3" t="str">
        <f aca="false">IF(E99=G99,E99,IF(E99=I99,E99,IF(G99=I99,G99,"판단보류")))</f>
        <v>긍정</v>
      </c>
      <c r="L99" s="3" t="str">
        <f aca="false">IF(OR(J99="판단보류",K99="판단보류"),"예 - 검토필요","")</f>
        <v/>
      </c>
    </row>
    <row r="100" customFormat="false" ht="15" hidden="false" customHeight="false" outlineLevel="0" collapsed="false">
      <c r="A100" s="3" t="n">
        <v>77</v>
      </c>
      <c r="B100" s="4" t="s">
        <v>133</v>
      </c>
      <c r="C100" s="4" t="s">
        <v>133</v>
      </c>
      <c r="D100" s="4" t="s">
        <v>21</v>
      </c>
      <c r="E100" s="4" t="s">
        <v>14</v>
      </c>
      <c r="F100" s="4" t="s">
        <v>21</v>
      </c>
      <c r="G100" s="4" t="s">
        <v>14</v>
      </c>
      <c r="H100" s="4" t="s">
        <v>21</v>
      </c>
      <c r="I100" s="4" t="s">
        <v>14</v>
      </c>
      <c r="J100" s="3" t="str">
        <f aca="false">IF(D100=F100,D100,IF(D100=H100,D100,IF(F100=H100,F100,"판단보류")))</f>
        <v>소음</v>
      </c>
      <c r="K100" s="3" t="str">
        <f aca="false">IF(E100=G100,E100,IF(E100=I100,E100,IF(G100=I100,G100,"판단보류")))</f>
        <v>부정</v>
      </c>
      <c r="L100" s="3" t="str">
        <f aca="false">IF(OR(J100="판단보류",K100="판단보류"),"예 - 검토필요","")</f>
        <v/>
      </c>
    </row>
    <row r="101" customFormat="false" ht="15" hidden="false" customHeight="false" outlineLevel="0" collapsed="false">
      <c r="A101" s="3" t="n">
        <v>78</v>
      </c>
      <c r="B101" s="4" t="s">
        <v>134</v>
      </c>
      <c r="C101" s="4" t="s">
        <v>134</v>
      </c>
      <c r="D101" s="4" t="s">
        <v>79</v>
      </c>
      <c r="E101" s="4" t="s">
        <v>14</v>
      </c>
      <c r="F101" s="4" t="s">
        <v>79</v>
      </c>
      <c r="G101" s="4" t="s">
        <v>14</v>
      </c>
      <c r="H101" s="4" t="s">
        <v>79</v>
      </c>
      <c r="I101" s="4" t="s">
        <v>14</v>
      </c>
      <c r="J101" s="3" t="str">
        <f aca="false">IF(D101=F101,D101,IF(D101=H101,D101,IF(F101=H101,F101,"판단보류")))</f>
        <v>혼잡도</v>
      </c>
      <c r="K101" s="3" t="str">
        <f aca="false">IF(E101=G101,E101,IF(E101=I101,E101,IF(G101=I101,G101,"판단보류")))</f>
        <v>부정</v>
      </c>
      <c r="L101" s="3" t="str">
        <f aca="false">IF(OR(J101="판단보류",K101="판단보류"),"예 - 검토필요","")</f>
        <v/>
      </c>
    </row>
    <row r="102" customFormat="false" ht="15" hidden="false" customHeight="false" outlineLevel="0" collapsed="false">
      <c r="A102" s="3" t="n">
        <v>79</v>
      </c>
      <c r="B102" s="4" t="s">
        <v>135</v>
      </c>
      <c r="C102" s="4" t="s">
        <v>135</v>
      </c>
      <c r="D102" s="4" t="s">
        <v>79</v>
      </c>
      <c r="E102" s="4" t="s">
        <v>17</v>
      </c>
      <c r="F102" s="4" t="s">
        <v>79</v>
      </c>
      <c r="G102" s="4" t="s">
        <v>17</v>
      </c>
      <c r="H102" s="4" t="s">
        <v>79</v>
      </c>
      <c r="I102" s="4" t="s">
        <v>17</v>
      </c>
      <c r="J102" s="3" t="str">
        <f aca="false">IF(D102=F102,D102,IF(D102=H102,D102,IF(F102=H102,F102,"판단보류")))</f>
        <v>혼잡도</v>
      </c>
      <c r="K102" s="3" t="str">
        <f aca="false">IF(E102=G102,E102,IF(E102=I102,E102,IF(G102=I102,G102,"판단보류")))</f>
        <v>긍정</v>
      </c>
      <c r="L102" s="3" t="str">
        <f aca="false">IF(OR(J102="판단보류",K102="판단보류"),"예 - 검토필요","")</f>
        <v/>
      </c>
    </row>
    <row r="103" customFormat="false" ht="15" hidden="false" customHeight="false" outlineLevel="0" collapsed="false">
      <c r="A103" s="3" t="n">
        <v>80</v>
      </c>
      <c r="B103" s="4" t="s">
        <v>136</v>
      </c>
      <c r="C103" s="4" t="s">
        <v>136</v>
      </c>
      <c r="D103" s="4" t="s">
        <v>79</v>
      </c>
      <c r="E103" s="4" t="s">
        <v>14</v>
      </c>
      <c r="F103" s="4" t="s">
        <v>79</v>
      </c>
      <c r="G103" s="4" t="s">
        <v>14</v>
      </c>
      <c r="H103" s="4" t="s">
        <v>79</v>
      </c>
      <c r="I103" s="4" t="s">
        <v>14</v>
      </c>
      <c r="J103" s="3" t="str">
        <f aca="false">IF(D103=F103,D103,IF(D103=H103,D103,IF(F103=H103,F103,"판단보류")))</f>
        <v>혼잡도</v>
      </c>
      <c r="K103" s="3" t="str">
        <f aca="false">IF(E103=G103,E103,IF(E103=I103,E103,IF(G103=I103,G103,"판단보류")))</f>
        <v>부정</v>
      </c>
      <c r="L103" s="3" t="str">
        <f aca="false">IF(OR(J103="판단보류",K103="판단보류"),"예 - 검토필요","")</f>
        <v/>
      </c>
    </row>
    <row r="104" customFormat="false" ht="15" hidden="false" customHeight="false" outlineLevel="0" collapsed="false">
      <c r="A104" s="3" t="n">
        <v>81</v>
      </c>
      <c r="B104" s="4" t="s">
        <v>137</v>
      </c>
      <c r="C104" s="4" t="s">
        <v>137</v>
      </c>
      <c r="D104" s="4" t="s">
        <v>79</v>
      </c>
      <c r="E104" s="4" t="s">
        <v>17</v>
      </c>
      <c r="F104" s="4" t="s">
        <v>79</v>
      </c>
      <c r="G104" s="4" t="s">
        <v>17</v>
      </c>
      <c r="H104" s="4" t="s">
        <v>79</v>
      </c>
      <c r="I104" s="4" t="s">
        <v>17</v>
      </c>
      <c r="J104" s="3" t="str">
        <f aca="false">IF(D104=F104,D104,IF(D104=H104,D104,IF(F104=H104,F104,"판단보류")))</f>
        <v>혼잡도</v>
      </c>
      <c r="K104" s="3" t="str">
        <f aca="false">IF(E104=G104,E104,IF(E104=I104,E104,IF(G104=I104,G104,"판단보류")))</f>
        <v>긍정</v>
      </c>
      <c r="L104" s="3" t="str">
        <f aca="false">IF(OR(J104="판단보류",K104="판단보류"),"예 - 검토필요","")</f>
        <v/>
      </c>
    </row>
    <row r="105" customFormat="false" ht="15" hidden="false" customHeight="false" outlineLevel="0" collapsed="false">
      <c r="A105" s="3" t="n">
        <v>82</v>
      </c>
      <c r="B105" s="4" t="s">
        <v>138</v>
      </c>
      <c r="C105" s="4" t="s">
        <v>138</v>
      </c>
      <c r="D105" s="4" t="s">
        <v>79</v>
      </c>
      <c r="E105" s="4" t="s">
        <v>14</v>
      </c>
      <c r="F105" s="4" t="s">
        <v>79</v>
      </c>
      <c r="G105" s="4" t="s">
        <v>14</v>
      </c>
      <c r="H105" s="4" t="s">
        <v>79</v>
      </c>
      <c r="I105" s="4" t="s">
        <v>14</v>
      </c>
      <c r="J105" s="3" t="str">
        <f aca="false">IF(D105=F105,D105,IF(D105=H105,D105,IF(F105=H105,F105,"판단보류")))</f>
        <v>혼잡도</v>
      </c>
      <c r="K105" s="3" t="str">
        <f aca="false">IF(E105=G105,E105,IF(E105=I105,E105,IF(G105=I105,G105,"판단보류")))</f>
        <v>부정</v>
      </c>
      <c r="L105" s="3" t="str">
        <f aca="false">IF(OR(J105="판단보류",K105="판단보류"),"예 - 검토필요","")</f>
        <v/>
      </c>
    </row>
    <row r="106" customFormat="false" ht="15" hidden="false" customHeight="false" outlineLevel="0" collapsed="false">
      <c r="A106" s="3" t="n">
        <v>83</v>
      </c>
      <c r="B106" s="4" t="s">
        <v>139</v>
      </c>
      <c r="C106" s="4" t="s">
        <v>139</v>
      </c>
      <c r="D106" s="4" t="s">
        <v>79</v>
      </c>
      <c r="E106" s="4" t="s">
        <v>17</v>
      </c>
      <c r="F106" s="4" t="s">
        <v>79</v>
      </c>
      <c r="G106" s="4" t="s">
        <v>17</v>
      </c>
      <c r="H106" s="4" t="s">
        <v>79</v>
      </c>
      <c r="I106" s="4" t="s">
        <v>17</v>
      </c>
      <c r="J106" s="3" t="str">
        <f aca="false">IF(D106=F106,D106,IF(D106=H106,D106,IF(F106=H106,F106,"판단보류")))</f>
        <v>혼잡도</v>
      </c>
      <c r="K106" s="3" t="str">
        <f aca="false">IF(E106=G106,E106,IF(E106=I106,E106,IF(G106=I106,G106,"판단보류")))</f>
        <v>긍정</v>
      </c>
      <c r="L106" s="3" t="str">
        <f aca="false">IF(OR(J106="판단보류",K106="판단보류"),"예 - 검토필요","")</f>
        <v/>
      </c>
    </row>
    <row r="107" customFormat="false" ht="15" hidden="false" customHeight="false" outlineLevel="0" collapsed="false">
      <c r="A107" s="3" t="n">
        <v>84</v>
      </c>
      <c r="B107" s="4" t="s">
        <v>140</v>
      </c>
      <c r="C107" s="4" t="s">
        <v>140</v>
      </c>
      <c r="D107" s="4" t="s">
        <v>79</v>
      </c>
      <c r="E107" s="4" t="s">
        <v>14</v>
      </c>
      <c r="F107" s="4" t="s">
        <v>79</v>
      </c>
      <c r="G107" s="4" t="s">
        <v>14</v>
      </c>
      <c r="H107" s="4" t="s">
        <v>79</v>
      </c>
      <c r="I107" s="4" t="s">
        <v>14</v>
      </c>
      <c r="J107" s="3" t="str">
        <f aca="false">IF(D107=F107,D107,IF(D107=H107,D107,IF(F107=H107,F107,"판단보류")))</f>
        <v>혼잡도</v>
      </c>
      <c r="K107" s="3" t="str">
        <f aca="false">IF(E107=G107,E107,IF(E107=I107,E107,IF(G107=I107,G107,"판단보류")))</f>
        <v>부정</v>
      </c>
      <c r="L107" s="3" t="str">
        <f aca="false">IF(OR(J107="판단보류",K107="판단보류"),"예 - 검토필요","")</f>
        <v/>
      </c>
    </row>
    <row r="108" customFormat="false" ht="15" hidden="false" customHeight="false" outlineLevel="0" collapsed="false">
      <c r="A108" s="3" t="n">
        <v>85</v>
      </c>
      <c r="B108" s="4" t="s">
        <v>141</v>
      </c>
      <c r="C108" s="4" t="s">
        <v>141</v>
      </c>
      <c r="D108" s="4" t="s">
        <v>79</v>
      </c>
      <c r="E108" s="4" t="s">
        <v>17</v>
      </c>
      <c r="F108" s="4" t="s">
        <v>79</v>
      </c>
      <c r="G108" s="4" t="s">
        <v>17</v>
      </c>
      <c r="H108" s="4" t="s">
        <v>79</v>
      </c>
      <c r="I108" s="4" t="s">
        <v>17</v>
      </c>
      <c r="J108" s="3" t="str">
        <f aca="false">IF(D108=F108,D108,IF(D108=H108,D108,IF(F108=H108,F108,"판단보류")))</f>
        <v>혼잡도</v>
      </c>
      <c r="K108" s="3" t="str">
        <f aca="false">IF(E108=G108,E108,IF(E108=I108,E108,IF(G108=I108,G108,"판단보류")))</f>
        <v>긍정</v>
      </c>
      <c r="L108" s="3" t="str">
        <f aca="false">IF(OR(J108="판단보류",K108="판단보류"),"예 - 검토필요","")</f>
        <v/>
      </c>
    </row>
    <row r="109" customFormat="false" ht="17.15" hidden="false" customHeight="false" outlineLevel="0" collapsed="false">
      <c r="A109" s="3" t="n">
        <v>86</v>
      </c>
      <c r="B109" s="4" t="s">
        <v>142</v>
      </c>
      <c r="C109" s="4" t="s">
        <v>142</v>
      </c>
      <c r="D109" s="4" t="s">
        <v>79</v>
      </c>
      <c r="E109" s="4" t="s">
        <v>14</v>
      </c>
      <c r="F109" s="4" t="s">
        <v>79</v>
      </c>
      <c r="G109" s="4" t="s">
        <v>14</v>
      </c>
      <c r="H109" s="4" t="s">
        <v>79</v>
      </c>
      <c r="I109" s="4" t="s">
        <v>14</v>
      </c>
      <c r="J109" s="3" t="str">
        <f aca="false">IF(D109=F109,D109,IF(D109=H109,D109,IF(F109=H109,F109,"판단보류")))</f>
        <v>혼잡도</v>
      </c>
      <c r="K109" s="3" t="str">
        <f aca="false">IF(E109=G109,E109,IF(E109=I109,E109,IF(G109=I109,G109,"판단보류")))</f>
        <v>부정</v>
      </c>
      <c r="L109" s="3" t="str">
        <f aca="false">IF(OR(J109="판단보류",K109="판단보류"),"예 - 검토필요","")</f>
        <v/>
      </c>
    </row>
    <row r="110" customFormat="false" ht="15" hidden="false" customHeight="false" outlineLevel="0" collapsed="false">
      <c r="A110" s="3" t="n">
        <v>87</v>
      </c>
      <c r="B110" s="4" t="s">
        <v>143</v>
      </c>
      <c r="C110" s="4" t="s">
        <v>143</v>
      </c>
      <c r="D110" s="4" t="s">
        <v>79</v>
      </c>
      <c r="E110" s="4" t="s">
        <v>17</v>
      </c>
      <c r="F110" s="4" t="s">
        <v>79</v>
      </c>
      <c r="G110" s="4" t="s">
        <v>17</v>
      </c>
      <c r="H110" s="4" t="s">
        <v>79</v>
      </c>
      <c r="I110" s="4" t="s">
        <v>17</v>
      </c>
      <c r="J110" s="3" t="str">
        <f aca="false">IF(D110=F110,D110,IF(D110=H110,D110,IF(F110=H110,F110,"판단보류")))</f>
        <v>혼잡도</v>
      </c>
      <c r="K110" s="3" t="str">
        <f aca="false">IF(E110=G110,E110,IF(E110=I110,E110,IF(G110=I110,G110,"판단보류")))</f>
        <v>긍정</v>
      </c>
      <c r="L110" s="3" t="str">
        <f aca="false">IF(OR(J110="판단보류",K110="판단보류"),"예 - 검토필요","")</f>
        <v/>
      </c>
    </row>
    <row r="111" customFormat="false" ht="15" hidden="false" customHeight="false" outlineLevel="0" collapsed="false">
      <c r="A111" s="3" t="n">
        <v>88</v>
      </c>
      <c r="B111" s="4" t="s">
        <v>144</v>
      </c>
      <c r="C111" s="4" t="s">
        <v>144</v>
      </c>
      <c r="D111" s="4" t="s">
        <v>79</v>
      </c>
      <c r="E111" s="4" t="s">
        <v>14</v>
      </c>
      <c r="F111" s="4" t="s">
        <v>79</v>
      </c>
      <c r="G111" s="4" t="s">
        <v>14</v>
      </c>
      <c r="H111" s="4" t="s">
        <v>79</v>
      </c>
      <c r="I111" s="4" t="s">
        <v>14</v>
      </c>
      <c r="J111" s="3" t="str">
        <f aca="false">IF(D111=F111,D111,IF(D111=H111,D111,IF(F111=H111,F111,"판단보류")))</f>
        <v>혼잡도</v>
      </c>
      <c r="K111" s="3" t="str">
        <f aca="false">IF(E111=G111,E111,IF(E111=I111,E111,IF(G111=I111,G111,"판단보류")))</f>
        <v>부정</v>
      </c>
      <c r="L111" s="3" t="str">
        <f aca="false">IF(OR(J111="판단보류",K111="판단보류"),"예 - 검토필요","")</f>
        <v/>
      </c>
    </row>
    <row r="112" customFormat="false" ht="15" hidden="false" customHeight="false" outlineLevel="0" collapsed="false">
      <c r="A112" s="3" t="n">
        <v>89</v>
      </c>
      <c r="B112" s="4" t="s">
        <v>145</v>
      </c>
      <c r="C112" s="4" t="s">
        <v>145</v>
      </c>
      <c r="D112" s="4" t="s">
        <v>79</v>
      </c>
      <c r="E112" s="4" t="s">
        <v>17</v>
      </c>
      <c r="F112" s="4" t="s">
        <v>79</v>
      </c>
      <c r="G112" s="4" t="s">
        <v>17</v>
      </c>
      <c r="H112" s="4" t="s">
        <v>79</v>
      </c>
      <c r="I112" s="4" t="s">
        <v>17</v>
      </c>
      <c r="J112" s="3" t="str">
        <f aca="false">IF(D112=F112,D112,IF(D112=H112,D112,IF(F112=H112,F112,"판단보류")))</f>
        <v>혼잡도</v>
      </c>
      <c r="K112" s="3" t="str">
        <f aca="false">IF(E112=G112,E112,IF(E112=I112,E112,IF(G112=I112,G112,"판단보류")))</f>
        <v>긍정</v>
      </c>
      <c r="L112" s="3" t="str">
        <f aca="false">IF(OR(J112="판단보류",K112="판단보류"),"예 - 검토필요","")</f>
        <v/>
      </c>
    </row>
    <row r="113" customFormat="false" ht="15" hidden="false" customHeight="false" outlineLevel="0" collapsed="false">
      <c r="A113" s="3" t="n">
        <v>90</v>
      </c>
      <c r="B113" s="4" t="s">
        <v>146</v>
      </c>
      <c r="C113" s="4" t="s">
        <v>146</v>
      </c>
      <c r="D113" s="4" t="s">
        <v>79</v>
      </c>
      <c r="E113" s="4" t="s">
        <v>17</v>
      </c>
      <c r="F113" s="4" t="s">
        <v>79</v>
      </c>
      <c r="G113" s="4" t="s">
        <v>17</v>
      </c>
      <c r="H113" s="4" t="s">
        <v>79</v>
      </c>
      <c r="I113" s="4" t="s">
        <v>17</v>
      </c>
      <c r="J113" s="3" t="str">
        <f aca="false">IF(D113=F113,D113,IF(D113=H113,D113,IF(F113=H113,F113,"판단보류")))</f>
        <v>혼잡도</v>
      </c>
      <c r="K113" s="3" t="str">
        <f aca="false">IF(E113=G113,E113,IF(E113=I113,E113,IF(G113=I113,G113,"판단보류")))</f>
        <v>긍정</v>
      </c>
      <c r="L113" s="3" t="str">
        <f aca="false">IF(OR(J113="판단보류",K113="판단보류"),"예 - 검토필요","")</f>
        <v/>
      </c>
    </row>
    <row r="114" customFormat="false" ht="15" hidden="false" customHeight="false" outlineLevel="0" collapsed="false">
      <c r="A114" s="3" t="n">
        <v>91</v>
      </c>
      <c r="B114" s="4" t="s">
        <v>147</v>
      </c>
      <c r="C114" s="4" t="s">
        <v>147</v>
      </c>
      <c r="D114" s="4" t="s">
        <v>79</v>
      </c>
      <c r="E114" s="4" t="s">
        <v>14</v>
      </c>
      <c r="F114" s="4" t="s">
        <v>79</v>
      </c>
      <c r="G114" s="4" t="s">
        <v>14</v>
      </c>
      <c r="H114" s="4" t="s">
        <v>79</v>
      </c>
      <c r="I114" s="4" t="s">
        <v>14</v>
      </c>
      <c r="J114" s="3" t="str">
        <f aca="false">IF(D114=F114,D114,IF(D114=H114,D114,IF(F114=H114,F114,"판단보류")))</f>
        <v>혼잡도</v>
      </c>
      <c r="K114" s="3" t="str">
        <f aca="false">IF(E114=G114,E114,IF(E114=I114,E114,IF(G114=I114,G114,"판단보류")))</f>
        <v>부정</v>
      </c>
      <c r="L114" s="3" t="str">
        <f aca="false">IF(OR(J114="판단보류",K114="판단보류"),"예 - 검토필요","")</f>
        <v/>
      </c>
    </row>
    <row r="115" customFormat="false" ht="15" hidden="false" customHeight="false" outlineLevel="0" collapsed="false">
      <c r="A115" s="3" t="n">
        <v>92</v>
      </c>
      <c r="B115" s="4" t="s">
        <v>148</v>
      </c>
      <c r="C115" s="4" t="s">
        <v>148</v>
      </c>
      <c r="D115" s="4" t="s">
        <v>79</v>
      </c>
      <c r="E115" s="4" t="s">
        <v>17</v>
      </c>
      <c r="F115" s="4" t="s">
        <v>79</v>
      </c>
      <c r="G115" s="4" t="s">
        <v>17</v>
      </c>
      <c r="H115" s="4" t="s">
        <v>79</v>
      </c>
      <c r="I115" s="4" t="s">
        <v>17</v>
      </c>
      <c r="J115" s="3" t="str">
        <f aca="false">IF(D115=F115,D115,IF(D115=H115,D115,IF(F115=H115,F115,"판단보류")))</f>
        <v>혼잡도</v>
      </c>
      <c r="K115" s="3" t="str">
        <f aca="false">IF(E115=G115,E115,IF(E115=I115,E115,IF(G115=I115,G115,"판단보류")))</f>
        <v>긍정</v>
      </c>
      <c r="L115" s="3" t="str">
        <f aca="false">IF(OR(J115="판단보류",K115="판단보류"),"예 - 검토필요","")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5" t="s">
        <v>149</v>
      </c>
    </row>
    <row r="2" customFormat="false" ht="15" hidden="false" customHeight="false" outlineLevel="0" collapsed="false">
      <c r="A2" s="6"/>
    </row>
    <row r="3" customFormat="false" ht="17.15" hidden="false" customHeight="false" outlineLevel="0" collapsed="false">
      <c r="A3" s="7" t="s">
        <v>150</v>
      </c>
    </row>
    <row r="4" customFormat="false" ht="17.15" hidden="false" customHeight="false" outlineLevel="0" collapsed="false">
      <c r="A4" s="7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2026-07-29T07:17:04Z</dcterms:created>
  <dc:creator>openpyxl</dc:creator>
  <dc:description/>
  <dc:language>en-US</dc:language>
  <cp:lastModifiedBy/>
  <dcterms:modified xsi:type="dcterms:W3CDTF">2026-07-29T07:17:04Z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